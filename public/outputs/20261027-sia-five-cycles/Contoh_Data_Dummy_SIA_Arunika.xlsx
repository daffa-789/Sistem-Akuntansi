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eec850547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aeb70ebbc61d458c"/>
    <x:sheet xmlns:r="http://schemas.openxmlformats.org/officeDocument/2006/relationships" name="Pendapatan" sheetId="2" r:id="R6a3a37f3ad954093"/>
    <x:sheet xmlns:r="http://schemas.openxmlformats.org/officeDocument/2006/relationships" name="Pengeluaran" sheetId="3" r:id="R16c84096cea64fac"/>
    <x:sheet xmlns:r="http://schemas.openxmlformats.org/officeDocument/2006/relationships" name="Produksi" sheetId="4" r:id="R799765160235451b"/>
    <x:sheet xmlns:r="http://schemas.openxmlformats.org/officeDocument/2006/relationships" name="Penggajian" sheetId="5" r:id="Rdd41e40ac3eb40a9"/>
    <x:sheet xmlns:r="http://schemas.openxmlformats.org/officeDocument/2006/relationships" name="Buku Besar" sheetId="6" r:id="R8f5fa5b28cfa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"/>
    <x:numFmt numFmtId="202" formatCode="#,##0;[Red](#,##0);-"/>
  </x:numFmts>
  <x:fonts count="9">
    <x:font>
      <x:sz val="11"/>
      <x:name val="Carlito"/>
    </x:font>
    <x:font>
      <x:sz val="10"/>
      <x:color rgb="FF26352B"/>
      <x:name val="Arial"/>
    </x:font>
    <x:font>
      <x:b/>
      <x:sz val="16"/>
      <x:color rgb="FF173D2C"/>
      <x:name val="Arial"/>
    </x:font>
    <x:font>
      <x:sz val="9"/>
      <x:color rgb="FF68766B"/>
      <x:name val="Arial"/>
    </x:font>
    <x:font>
      <x:i/>
      <x:sz val="9"/>
      <x:color rgb="FF68766B"/>
      <x:name val="Arial"/>
    </x:font>
    <x:font>
      <x:b/>
      <x:sz val="9"/>
      <x:color rgb="FFFFFFFF"/>
      <x:name val="Arial"/>
    </x:font>
    <x:font>
      <x:b/>
      <x:sz val="10"/>
      <x:color rgb="FF173D2C"/>
      <x:name val="Arial"/>
    </x:font>
    <x:font>
      <x:b/>
      <x:sz val="9"/>
      <x:color rgb="FF173D2C"/>
      <x:name val="Arial"/>
    </x:font>
    <x:font>
      <x:b/>
      <x:sz val="9"/>
      <x:color rgb="FF2766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C37"/>
      </x:patternFill>
    </x:fill>
    <x:fill>
      <x:patternFill patternType="solid">
        <x:fgColor rgb="FFF0F6EE"/>
      </x:patternFill>
    </x:fill>
    <x:fill>
      <x:patternFill patternType="solid">
        <x:fgColor rgb="FFEAF1E8"/>
      </x:patternFill>
    </x:fill>
    <x:fill>
      <x:patternFill patternType="solid">
        <x:fgColor rgb="FFEFF6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2" fontId="0" fillId="4" borderId="0" xfId="0" applyNumberFormat="1" applyFont="1" applyFill="1" applyBorder="1"/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2" fontId="1" fillId="3" borderId="0" xfId="0" applyNumberFormat="1" applyFont="1" applyFill="1" applyBorder="1" applyAlignment="1">
      <x:alignment vertical="center" wrapText="0"/>
    </x:xf>
    <x:xf numFmtId="0" fontId="6" fillId="4" borderId="0" xfId="0" applyNumberFormat="1" applyFont="1" applyFill="1" applyBorder="1" applyAlignment="1">
      <x:alignment vertical="center" wrapText="0"/>
    </x:xf>
    <x:xf numFmtId="202" fontId="6" fillId="4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55f8d976a415a" /><Relationship Type="http://schemas.openxmlformats.org/officeDocument/2006/relationships/theme" Target="/xl/theme/theme1.xml" Id="Rbfc17947578f45c7" /><Relationship Type="http://schemas.openxmlformats.org/officeDocument/2006/relationships/sharedStrings" Target="/xl/sharedStrings.xml" Id="Ra908aa4c45654f21" /><Relationship Type="http://schemas.openxmlformats.org/officeDocument/2006/relationships/worksheet" Target="/xl/worksheets/sheet1.xml" Id="Raeb70ebbc61d458c" /><Relationship Type="http://schemas.openxmlformats.org/officeDocument/2006/relationships/worksheet" Target="/xl/worksheets/sheet2.xml" Id="R6a3a37f3ad954093" /><Relationship Type="http://schemas.openxmlformats.org/officeDocument/2006/relationships/worksheet" Target="/xl/worksheets/sheet3.xml" Id="R16c84096cea64fac" /><Relationship Type="http://schemas.openxmlformats.org/officeDocument/2006/relationships/worksheet" Target="/xl/worksheets/sheet4.xml" Id="R799765160235451b" /><Relationship Type="http://schemas.openxmlformats.org/officeDocument/2006/relationships/worksheet" Target="/xl/worksheets/sheet5.xml" Id="Rdd41e40ac3eb40a9" /><Relationship Type="http://schemas.openxmlformats.org/officeDocument/2006/relationships/worksheet" Target="/xl/worksheets/sheet6.xml" Id="R8f5fa5b28cfa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40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CONTOH DATA — LIMA SIKLUS UTAMA SIA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PT Arunika Persenjataan (Fiktif) · Periode Agustus–September 2026 · Ringkasan per 27 Oktober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5" t="str">
        <x:v>Data latihan. Nama, transaksi, dan nominal fiktif; tidak dihubungkan ke database aplikasi.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8" t="str">
        <x:v>INDIKATOR</x:v>
      </x:c>
      <x:c r="B6" s="8" t="str">
        <x:v>NILAI (RP)</x:v>
      </x:c>
      <x:c r="C6" s="8" t="str">
        <x:v>KETERANGAN</x:v>
      </x:c>
      <x:c r="D6" s="8" t="str">
        <x:v>NERACA SALDO RINGKAS</x:v>
      </x:c>
      <x:c r="E6" s="8"/>
      <x:c r="F6" s="8"/>
      <x:c r="G6" s="8"/>
      <x:c r="H6" s="8"/>
      <x:c r="I6" s="8"/>
      <x:c r="J6" s="2"/>
      <x:c r="K6" s="2"/>
      <x:c r="L6" s="2"/>
      <x:c r="M6" s="2"/>
      <x:c r="N6" s="2"/>
      <x:c r="O6" s="2"/>
    </x:row>
    <x:row r="7" ht="23" customHeight="1">
      <x:c r="A7" t="str">
        <x:v>Pendapatan penjualan</x:v>
      </x:c>
      <x:c r="B7" s="21" t="n">
        <x:f>SUM(Pendapatan!H7:H12)</x:f>
        <x:v>150000000</x:v>
      </x:c>
      <x:c r="C7" t="str">
        <x:v>Faktur terkirim dan tervalidasi</x:v>
      </x:c>
      <x:c r="D7" s="19" t="str">
        <x:v>Akun</x:v>
      </x:c>
      <x:c r="E7" s="19" t="str">
        <x:v>Debit</x:v>
      </x:c>
      <x:c r="F7" s="19" t="str">
        <x:v>Kredit</x:v>
      </x:c>
      <x:c r="G7" s="19" t="str">
        <x:v>Saldo Debit</x:v>
      </x:c>
      <x:c r="H7" s="19" t="str">
        <x:v>Saldo Kredit</x:v>
      </x:c>
      <x:c r="I7"/>
    </x:row>
    <x:row r="8" ht="21" customHeight="1">
      <x:c r="A8" t="str">
        <x:v>Kas diterima pelanggan</x:v>
      </x:c>
      <x:c r="B8" s="21" t="n">
        <x:f>SUM(Pendapatan!I7:I12)</x:f>
        <x:v>103000000</x:v>
      </x:c>
      <x:c r="C8" t="str">
        <x:v>Termasuk penjualan tunai</x:v>
      </x:c>
      <x:c r="D8" t="str">
        <x:v>Kas di Bank</x:v>
      </x:c>
      <x:c r="E8" s="22" t="n">
        <x:f>SUMIF('Buku Besar'!$E$7:$E$72,D8,'Buku Besar'!$F$7:$F$72)</x:f>
        <x:v>153000000</x:v>
      </x:c>
      <x:c r="F8" s="22" t="n">
        <x:f>SUMIF('Buku Besar'!$E$7:$E$72,D8,'Buku Besar'!$G$7:$G$72)</x:f>
        <x:v>79000000</x:v>
      </x:c>
      <x:c r="G8" s="22" t="n">
        <x:f>IF(E8&gt;F8,E8-F8,0)</x:f>
        <x:v>74000000</x:v>
      </x:c>
      <x:c r="H8" s="22" t="n">
        <x:f>IF(F8&gt;E8,F8-E8,0)</x:f>
        <x:v>0</x:v>
      </x:c>
      <x:c r="I8"/>
    </x:row>
    <x:row r="9" ht="21" customHeight="1">
      <x:c r="A9" t="str">
        <x:v>Piutang usaha</x:v>
      </x:c>
      <x:c r="B9" s="21" t="n">
        <x:f>SUM(Pendapatan!K7:K12)</x:f>
        <x:v>47000000</x:v>
      </x:c>
      <x:c r="C9" t="str">
        <x:v>Saldo faktur setelah penerimaan</x:v>
      </x:c>
      <x:c r="D9" t="str">
        <x:v>Piutang Usaha</x:v>
      </x:c>
      <x:c r="E9" s="22" t="n">
        <x:f>SUMIF('Buku Besar'!$E$7:$E$72,D9,'Buku Besar'!$F$7:$F$72)</x:f>
        <x:v>134000000</x:v>
      </x:c>
      <x:c r="F9" s="22" t="n">
        <x:f>SUMIF('Buku Besar'!$E$7:$E$72,D9,'Buku Besar'!$G$7:$G$72)</x:f>
        <x:v>87000000</x:v>
      </x:c>
      <x:c r="G9" s="22" t="n">
        <x:f>IF(E9&gt;F9,E9-F9,0)</x:f>
        <x:v>47000000</x:v>
      </x:c>
      <x:c r="H9" s="22" t="n">
        <x:f>IF(F9&gt;E9,F9-E9,0)</x:f>
        <x:v>0</x:v>
      </x:c>
      <x:c r="I9"/>
    </x:row>
    <x:row r="10" ht="21" customHeight="1">
      <x:c r="A10" t="str">
        <x:v>Total tagihan pemasok</x:v>
      </x:c>
      <x:c r="B10" s="21" t="n">
        <x:f>SUM(Pengeluaran!G7:G12)</x:f>
        <x:v>84000000</x:v>
      </x:c>
      <x:c r="C10" t="str">
        <x:v>Pembelian bahan dan jasa</x:v>
      </x:c>
      <x:c r="D10" t="str">
        <x:v>Persediaan Bahan Baku</x:v>
      </x:c>
      <x:c r="E10" s="22" t="n">
        <x:f>SUMIF('Buku Besar'!$E$7:$E$72,D10,'Buku Besar'!$F$7:$F$72)</x:f>
        <x:v>67000000</x:v>
      </x:c>
      <x:c r="F10" s="22" t="n">
        <x:f>SUMIF('Buku Besar'!$E$7:$E$72,D10,'Buku Besar'!$G$7:$G$72)</x:f>
        <x:v>64000000</x:v>
      </x:c>
      <x:c r="G10" s="22" t="n">
        <x:f>IF(E10&gt;F10,E10-F10,0)</x:f>
        <x:v>3000000</x:v>
      </x:c>
      <x:c r="H10" s="22" t="n">
        <x:f>IF(F10&gt;E10,F10-E10,0)</x:f>
        <x:v>0</x:v>
      </x:c>
      <x:c r="I10"/>
    </x:row>
    <x:row r="11" ht="21" customHeight="1">
      <x:c r="A11" t="str">
        <x:v>Kas dibayar ke pemasok</x:v>
      </x:c>
      <x:c r="B11" s="21" t="n">
        <x:f>SUM(Pengeluaran!H7:H12)</x:f>
        <x:v>47000000</x:v>
      </x:c>
      <x:c r="C11" t="str">
        <x:v>Pembayaran sebagian dan penuh</x:v>
      </x:c>
      <x:c r="D11" t="str">
        <x:v>Peralatan Produksi</x:v>
      </x:c>
      <x:c r="E11" s="22" t="n">
        <x:f>SUMIF('Buku Besar'!$E$7:$E$72,D11,'Buku Besar'!$F$7:$F$72)</x:f>
        <x:v>6500000</x:v>
      </x:c>
      <x:c r="F11" s="22" t="n">
        <x:f>SUMIF('Buku Besar'!$E$7:$E$72,D11,'Buku Besar'!$G$7:$G$72)</x:f>
        <x:v>0</x:v>
      </x:c>
      <x:c r="G11" s="22" t="n">
        <x:f>IF(E11&gt;F11,E11-F11,0)</x:f>
        <x:v>6500000</x:v>
      </x:c>
      <x:c r="H11" s="22" t="n">
        <x:f>IF(F11&gt;E11,F11-E11,0)</x:f>
        <x:v>0</x:v>
      </x:c>
      <x:c r="I11"/>
    </x:row>
    <x:row r="12" ht="21" customHeight="1">
      <x:c r="A12" t="str">
        <x:v>Utang usaha</x:v>
      </x:c>
      <x:c r="B12" s="21" t="n">
        <x:f>SUM(Pengeluaran!J7:J12)</x:f>
        <x:v>37000000</x:v>
      </x:c>
      <x:c r="C12" t="str">
        <x:v>Saldo tagihan setelah pembayaran</x:v>
      </x:c>
      <x:c r="D12" t="str">
        <x:v>Akumulasi Penyusutan</x:v>
      </x:c>
      <x:c r="E12" s="22" t="n">
        <x:f>SUMIF('Buku Besar'!$E$7:$E$72,D12,'Buku Besar'!$F$7:$F$72)</x:f>
        <x:v>0</x:v>
      </x:c>
      <x:c r="F12" s="22" t="n">
        <x:f>SUMIF('Buku Besar'!$E$7:$E$72,D12,'Buku Besar'!$G$7:$G$72)</x:f>
        <x:v>6500000</x:v>
      </x:c>
      <x:c r="G12" s="22" t="n">
        <x:f>IF(E12&gt;F12,E12-F12,0)</x:f>
        <x:v>0</x:v>
      </x:c>
      <x:c r="H12" s="22" t="n">
        <x:f>IF(F12&gt;E12,F12-E12,0)</x:f>
        <x:v>6500000</x:v>
      </x:c>
      <x:c r="I12"/>
    </x:row>
    <x:row r="13" ht="21" customHeight="1">
      <x:c r="A13" t="str">
        <x:v>Biaya produksi / HPP</x:v>
      </x:c>
      <x:c r="B13" s="21" t="n">
        <x:f>SUM(Produksi!I7:I12)</x:f>
        <x:v>94500000</x:v>
      </x:c>
      <x:c r="C13" t="str">
        <x:v>Bahan + tenaga kerja + overhead</x:v>
      </x:c>
      <x:c r="D13" t="str">
        <x:v>Utang Usaha</x:v>
      </x:c>
      <x:c r="E13" s="22" t="n">
        <x:f>SUMIF('Buku Besar'!$E$7:$E$72,D13,'Buku Besar'!$F$7:$F$72)</x:f>
        <x:v>47000000</x:v>
      </x:c>
      <x:c r="F13" s="22" t="n">
        <x:f>SUMIF('Buku Besar'!$E$7:$E$72,D13,'Buku Besar'!$G$7:$G$72)</x:f>
        <x:v>84000000</x:v>
      </x:c>
      <x:c r="G13" s="22" t="n">
        <x:f>IF(E13&gt;F13,E13-F13,0)</x:f>
        <x:v>0</x:v>
      </x:c>
      <x:c r="H13" s="22" t="n">
        <x:f>IF(F13&gt;E13,F13-E13,0)</x:f>
        <x:v>37000000</x:v>
      </x:c>
      <x:c r="I13"/>
    </x:row>
    <x:row r="14" ht="21" customHeight="1">
      <x:c r="A14" t="str">
        <x:v>Laba kotor simulasi</x:v>
      </x:c>
      <x:c r="B14" s="21" t="n">
        <x:f>B7-B13</x:f>
        <x:v>55500000</x:v>
      </x:c>
      <x:c r="C14" t="str">
        <x:v>Pendapatan dikurangi HPP</x:v>
      </x:c>
      <x:c r="D14" t="str">
        <x:v>Utang Potongan</x:v>
      </x:c>
      <x:c r="E14" s="22" t="n">
        <x:f>SUMIF('Buku Besar'!$E$7:$E$72,D14,'Buku Besar'!$F$7:$F$72)</x:f>
        <x:v>0</x:v>
      </x:c>
      <x:c r="F14" s="22" t="n">
        <x:f>SUMIF('Buku Besar'!$E$7:$E$72,D14,'Buku Besar'!$G$7:$G$72)</x:f>
        <x:v>2000000</x:v>
      </x:c>
      <x:c r="G14" s="22" t="n">
        <x:f>IF(E14&gt;F14,E14-F14,0)</x:f>
        <x:v>0</x:v>
      </x:c>
      <x:c r="H14" s="22" t="n">
        <x:f>IF(F14&gt;E14,F14-E14,0)</x:f>
        <x:v>2000000</x:v>
      </x:c>
      <x:c r="I14"/>
    </x:row>
    <x:row r="15" ht="21" customHeight="1">
      <x:c r="A15" t="str">
        <x:v>Beban operasional</x:v>
      </x:c>
      <x:c r="B15" s="21" t="n">
        <x:f>SUMIF(Pengeluaran!F7:F12,"Beban operasional",Pengeluaran!G7:G12)+SUMIF(Penggajian!E7:E14,"Administrasi",Penggajian!F7:F14)+SUMIF(Penggajian!E7:E14,"Penjualan",Penggajian!F7:F14)</x:f>
        <x:v>27000000</x:v>
      </x:c>
      <x:c r="C15" t="str">
        <x:v>Pelatihan dan gaji nonproduksi</x:v>
      </x:c>
      <x:c r="D15" t="str">
        <x:v>Modal Pemilik</x:v>
      </x:c>
      <x:c r="E15" s="22" t="n">
        <x:f>SUMIF('Buku Besar'!$E$7:$E$72,D15,'Buku Besar'!$F$7:$F$72)</x:f>
        <x:v>0</x:v>
      </x:c>
      <x:c r="F15" s="22" t="n">
        <x:f>SUMIF('Buku Besar'!$E$7:$E$72,D15,'Buku Besar'!$G$7:$G$72)</x:f>
        <x:v>56500000</x:v>
      </x:c>
      <x:c r="G15" s="22" t="n">
        <x:f>IF(E15&gt;F15,E15-F15,0)</x:f>
        <x:v>0</x:v>
      </x:c>
      <x:c r="H15" s="22" t="n">
        <x:f>IF(F15&gt;E15,F15-E15,0)</x:f>
        <x:v>56500000</x:v>
      </x:c>
      <x:c r="I15"/>
    </x:row>
    <x:row r="16" ht="21" customHeight="1">
      <x:c r="A16" t="str">
        <x:v>Laba bersih simulasi</x:v>
      </x:c>
      <x:c r="B16" s="21" t="n">
        <x:f>B14-B15</x:f>
        <x:v>28500000</x:v>
      </x:c>
      <x:c r="C16" t="str">
        <x:v>Sebelum pajak</x:v>
      </x:c>
      <x:c r="D16" t="str">
        <x:v>Pendapatan Penjualan</x:v>
      </x:c>
      <x:c r="E16" s="22" t="n">
        <x:f>SUMIF('Buku Besar'!$E$7:$E$72,D16,'Buku Besar'!$F$7:$F$72)</x:f>
        <x:v>0</x:v>
      </x:c>
      <x:c r="F16" s="22" t="n">
        <x:f>SUMIF('Buku Besar'!$E$7:$E$72,D16,'Buku Besar'!$G$7:$G$72)</x:f>
        <x:v>150000000</x:v>
      </x:c>
      <x:c r="G16" s="22" t="n">
        <x:f>IF(E16&gt;F16,E16-F16,0)</x:f>
        <x:v>0</x:v>
      </x:c>
      <x:c r="H16" s="22" t="n">
        <x:f>IF(F16&gt;E16,F16-E16,0)</x:f>
        <x:v>150000000</x:v>
      </x:c>
      <x:c r="I16"/>
    </x:row>
    <x:row r="17" ht="21" customHeight="1">
      <x:c r="A17" t="str">
        <x:v>Gaji kotor tercatat</x:v>
      </x:c>
      <x:c r="B17" s="21" t="n">
        <x:f>SUM(Penggajian!F7:F14)</x:f>
        <x:v>34000000</x:v>
      </x:c>
      <x:c r="C17" t="str">
        <x:v>Dua periode payroll</x:v>
      </x:c>
      <x:c r="D17" t="str">
        <x:v>Barang Dalam Proses</x:v>
      </x:c>
      <x:c r="E17" s="22" t="n">
        <x:f>SUMIF('Buku Besar'!$E$7:$E$72,D17,'Buku Besar'!$F$7:$F$72)</x:f>
        <x:v>94500000</x:v>
      </x:c>
      <x:c r="F17" s="22" t="n">
        <x:f>SUMIF('Buku Besar'!$E$7:$E$72,D17,'Buku Besar'!$G$7:$G$72)</x:f>
        <x:v>94500000</x:v>
      </x:c>
      <x:c r="G17" s="22" t="n">
        <x:f>IF(E17&gt;F17,E17-F17,0)</x:f>
        <x:v>0</x:v>
      </x:c>
      <x:c r="H17" s="22" t="n">
        <x:f>IF(F17&gt;E17,F17-E17,0)</x:f>
        <x:v>0</x:v>
      </x:c>
      <x:c r="I17"/>
    </x:row>
    <x:row r="18" ht="21" customHeight="1">
      <x:c r="A18" t="str">
        <x:v>Gaji bersih dibayar</x:v>
      </x:c>
      <x:c r="B18" s="21" t="n">
        <x:f>SUMIF(Penggajian!J7:J14,"Dibayar",Penggajian!H7:H14)</x:f>
        <x:v>32000000</x:v>
      </x:c>
      <x:c r="C18" t="str">
        <x:v>Setelah potongan simulasi</x:v>
      </x:c>
      <x:c r="D18" t="str">
        <x:v>Persediaan Barang Jadi</x:v>
      </x:c>
      <x:c r="E18" s="22" t="n">
        <x:f>SUMIF('Buku Besar'!$E$7:$E$72,D18,'Buku Besar'!$F$7:$F$72)</x:f>
        <x:v>94500000</x:v>
      </x:c>
      <x:c r="F18" s="22" t="n">
        <x:f>SUMIF('Buku Besar'!$E$7:$E$72,D18,'Buku Besar'!$G$7:$G$72)</x:f>
        <x:v>94500000</x:v>
      </x:c>
      <x:c r="G18" s="22" t="n">
        <x:f>IF(E18&gt;F18,E18-F18,0)</x:f>
        <x:v>0</x:v>
      </x:c>
      <x:c r="H18" s="22" t="n">
        <x:f>IF(F18&gt;E18,F18-E18,0)</x:f>
        <x:v>0</x:v>
      </x:c>
      <x:c r="I18"/>
    </x:row>
    <x:row r="19" ht="21" customHeight="1">
      <x:c r="A19" t="str">
        <x:v>Kas akhir simulasi</x:v>
      </x:c>
      <x:c r="B19" s="21" t="n">
        <x:f>50000000+B8-B11-B18</x:f>
        <x:v>74000000</x:v>
      </x:c>
      <x:c r="C19" t="str">
        <x:v>Saldo awal Rp50.000.000 + arus kas</x:v>
      </x:c>
      <x:c r="D19" t="str">
        <x:v>Harga Pokok Penjualan</x:v>
      </x:c>
      <x:c r="E19" s="22" t="n">
        <x:f>SUMIF('Buku Besar'!$E$7:$E$72,D19,'Buku Besar'!$F$7:$F$72)</x:f>
        <x:v>94500000</x:v>
      </x:c>
      <x:c r="F19" s="22" t="n">
        <x:f>SUMIF('Buku Besar'!$E$7:$E$72,D19,'Buku Besar'!$G$7:$G$72)</x:f>
        <x:v>0</x:v>
      </x:c>
      <x:c r="G19" s="22" t="n">
        <x:f>IF(E19&gt;F19,E19-F19,0)</x:f>
        <x:v>94500000</x:v>
      </x:c>
      <x:c r="H19" s="22" t="n">
        <x:f>IF(F19&gt;E19,F19-E19,0)</x:f>
        <x:v>0</x:v>
      </x:c>
      <x:c r="I19"/>
    </x:row>
    <x:row r="20" ht="21" customHeight="1">
      <x:c r="A20" t="str">
        <x:v>Persediaan bahan akhir</x:v>
      </x:c>
      <x:c r="B20" s="21" t="n">
        <x:f>SUMIF(Pengeluaran!F7:F12,"Persediaan bahan",Pengeluaran!G7:G12)-SUM(Produksi!F7:F12)</x:f>
        <x:v>3000000</x:v>
      </x:c>
      <x:c r="C20" t="str">
        <x:v>Bahan tersedia dikurangi bahan terpakai</x:v>
      </x:c>
      <x:c r="D20" t="str">
        <x:v>Beban Layanan Pelatihan</x:v>
      </x:c>
      <x:c r="E20" s="22" t="n">
        <x:f>SUMIF('Buku Besar'!$E$7:$E$72,D20,'Buku Besar'!$F$7:$F$72)</x:f>
        <x:v>9000000</x:v>
      </x:c>
      <x:c r="F20" s="22" t="n">
        <x:f>SUMIF('Buku Besar'!$E$7:$E$72,D20,'Buku Besar'!$G$7:$G$72)</x:f>
        <x:v>0</x:v>
      </x:c>
      <x:c r="G20" s="22" t="n">
        <x:f>IF(E20&gt;F20,E20-F20,0)</x:f>
        <x:v>9000000</x:v>
      </x:c>
      <x:c r="H20" s="22" t="n">
        <x:f>IF(F20&gt;E20,F20-E20,0)</x:f>
        <x:v>0</x:v>
      </x:c>
      <x:c r="I20"/>
    </x:row>
    <x:row r="21" ht="21" customHeight="1">
      <x:c r="A21" t="str">
        <x:v>Selisih total jurnal</x:v>
      </x:c>
      <x:c r="B21" s="21" t="n">
        <x:f>ABS(SUM('Buku Besar'!F7:F72)-SUM('Buku Besar'!G7:G72))</x:f>
        <x:v>0</x:v>
      </x:c>
      <x:c r="C21" t="str">
        <x:v>Harus Rp0 agar debit = kredit</x:v>
      </x:c>
      <x:c r="D21" t="str">
        <x:v>Beban Gaji</x:v>
      </x:c>
      <x:c r="E21" s="22" t="n">
        <x:f>SUMIF('Buku Besar'!$E$7:$E$72,D21,'Buku Besar'!$F$7:$F$72)</x:f>
        <x:v>18000000</x:v>
      </x:c>
      <x:c r="F21" s="22" t="n">
        <x:f>SUMIF('Buku Besar'!$E$7:$E$72,D21,'Buku Besar'!$G$7:$G$72)</x:f>
        <x:v>0</x:v>
      </x:c>
      <x:c r="G21" s="22" t="n">
        <x:f>IF(E21&gt;F21,E21-F21,0)</x:f>
        <x:v>18000000</x:v>
      </x:c>
      <x:c r="H21" s="22" t="n">
        <x:f>IF(F21&gt;E21,F21-E21,0)</x:f>
        <x:v>0</x:v>
      </x:c>
      <x:c r="I21"/>
    </x:row>
    <x:row r="22" ht="21" customHeight="1">
      <x:c r="D22" t="str">
        <x:v>Utang Gaji</x:v>
      </x:c>
      <x:c r="E22" s="22" t="n">
        <x:f>SUMIF('Buku Besar'!$E$7:$E$72,D22,'Buku Besar'!$F$7:$F$72)</x:f>
        <x:v>34000000</x:v>
      </x:c>
      <x:c r="F22" s="22" t="n">
        <x:f>SUMIF('Buku Besar'!$E$7:$E$72,D22,'Buku Besar'!$G$7:$G$72)</x:f>
        <x:v>34000000</x:v>
      </x:c>
      <x:c r="G22" s="22" t="n">
        <x:f>IF(E22&gt;F22,E22-F22,0)</x:f>
        <x:v>0</x:v>
      </x:c>
      <x:c r="H22" s="22" t="n">
        <x:f>IF(F22&gt;E22,F22-E22,0)</x:f>
        <x:v>0</x:v>
      </x:c>
      <x:c r="I22"/>
    </x:row>
    <x:row r="23" ht="21" customHeight="1">
      <x:c r="A23" s="28" t="str">
        <x:v>Catatan: angka penggajian dan potongan adalah contoh manual; aturan pajak tidak dihitung.</x:v>
      </x:c>
      <x:c r="D23" s="26" t="str">
        <x:v>TOTAL</x:v>
      </x:c>
      <x:c r="E23" s="27" t="n">
        <x:f>SUM(E8:E22)</x:f>
        <x:v>752000000</x:v>
      </x:c>
      <x:c r="F23" s="27" t="n">
        <x:f>SUM(F8:F22)</x:f>
        <x:v>752000000</x:v>
      </x:c>
      <x:c r="G23" s="27" t="n">
        <x:f>SUM(G8:G22)</x:f>
        <x:v>252000000</x:v>
      </x:c>
      <x:c r="H23" s="27" t="n">
        <x:f>SUM(H8:H22)</x:f>
        <x:v>252000000</x:v>
      </x:c>
    </x:row>
    <x:row r="24" ht="21" customHeight="1">
      <x:c r="D24" t="str">
        <x:v>Uji keseimbangan</x:v>
      </x:c>
      <x:c r="E24" s="24" t="str">
        <x:f>IF(ABS(SUM(E8:E22)-SUM(F8:F22))&lt;1,"SEIMBANG","PERIKSA")</x:f>
        <x:v>SEIMBANG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30" hidden="0" customWidth="1"/>
    <x:col min="5" max="5" width="38" hidden="0" customWidth="1"/>
    <x:col min="6" max="6" width="11" hidden="0" customWidth="1"/>
    <x:col min="7" max="7" width="20" hidden="0" customWidth="1"/>
    <x:col min="8" max="8" width="20" hidden="0" customWidth="1"/>
    <x:col min="9" max="9" width="20" hidden="0" customWidth="1"/>
    <x:col min="10" max="10" width="14" hidden="0" customWidth="1"/>
    <x:col min="11" max="11" width="18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Siklus Pendapatan — Penjualan &amp; Penerimaan Kas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PT Arunika Persenjataan (Fiktif) · Periode Agustus–September 2026 · Ringkasan per 27 Oktober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5" t="str">
        <x:v>Penjualan diakui setelah pengiriman dan validasi. Nama pelanggan dan barang bersifat fiktif.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8" t="str">
        <x:v>No Faktur</x:v>
      </x:c>
      <x:c r="B6" s="8" t="str">
        <x:v>Tanggal</x:v>
      </x:c>
      <x:c r="C6" s="8" t="str">
        <x:v>Jatuh Tempo</x:v>
      </x:c>
      <x:c r="D6" s="8" t="str">
        <x:v>Pelanggan (Fiktif)</x:v>
      </x:c>
      <x:c r="E6" s="8" t="str">
        <x:v>Produk / Jasa (Dummy)</x:v>
      </x:c>
      <x:c r="F6" s="8" t="str">
        <x:v>Kuantitas</x:v>
      </x:c>
      <x:c r="G6" s="8" t="str">
        <x:v>Harga Satuan (Rp)</x:v>
      </x:c>
      <x:c r="H6" s="8" t="str">
        <x:v>Nilai Faktur (Rp)</x:v>
      </x:c>
      <x:c r="I6" s="8" t="str">
        <x:v>Kas Diterima (Rp)</x:v>
      </x:c>
      <x:c r="J6" s="8" t="str">
        <x:v>Tanggal Terima</x:v>
      </x:c>
      <x:c r="K6" s="8" t="str">
        <x:v>Piutang (Rp)</x:v>
      </x:c>
      <x:c r="L6" s="8" t="str">
        <x:v>Status</x:v>
      </x:c>
      <x:c r="M6" s="2"/>
      <x:c r="N6" s="2"/>
      <x:c r="O6" s="2"/>
    </x:row>
    <x:row r="7" ht="22" customHeight="1">
      <x:c r="A7" s="2" t="str">
        <x:v>INV-2026-001</x:v>
      </x:c>
      <x:c r="B7" s="9" t="d">
        <x:v>2026-08-05T05:00:00.000Z</x:v>
      </x:c>
      <x:c r="C7" s="9" t="d">
        <x:v>2026-09-04T05:00:00.000Z</x:v>
      </x:c>
      <x:c r="D7" s="2" t="str">
        <x:v>PT Pilar Pertahanan (Fiktif)</x:v>
      </x:c>
      <x:c r="E7" s="2" t="str">
        <x:v>Perlengkapan pertahanan A-01 (dummy)</x:v>
      </x:c>
      <x:c r="F7" s="10" t="n">
        <x:v>2</x:v>
      </x:c>
      <x:c r="G7" s="11" t="n">
        <x:v>10000000</x:v>
      </x:c>
      <x:c r="H7" s="12" t="n">
        <x:f>F7*G7</x:f>
        <x:v>20000000</x:v>
      </x:c>
      <x:c r="I7" s="11" t="n">
        <x:v>20000000</x:v>
      </x:c>
      <x:c r="J7" s="9" t="d">
        <x:v>2026-08-25T05:00:00.000Z</x:v>
      </x:c>
      <x:c r="K7" s="12" t="n">
        <x:f>H7-I7</x:f>
        <x:v>0</x:v>
      </x:c>
      <x:c r="L7" s="13" t="str">
        <x:f>IF(K7=0,"Lunas",IF(C7&lt;DATE(2026,10,27),"Terlambat",IF(I7&gt;0,"Sebagian","Belum dibayar")))</x:f>
        <x:v>Lunas</x:v>
      </x:c>
    </x:row>
    <x:row r="8" ht="22" customHeight="1">
      <x:c r="A8" s="2" t="str">
        <x:v>INV-2026-002</x:v>
      </x:c>
      <x:c r="B8" s="9" t="d">
        <x:v>2026-08-19T05:00:00.000Z</x:v>
      </x:c>
      <x:c r="C8" s="9" t="d">
        <x:v>2026-09-18T05:00:00.000Z</x:v>
      </x:c>
      <x:c r="D8" s="2" t="str">
        <x:v>CV Aruna Sarana (Fiktif)</x:v>
      </x:c>
      <x:c r="E8" s="2" t="str">
        <x:v>Komponen pendukung B-02 (dummy)</x:v>
      </x:c>
      <x:c r="F8" s="10" t="n">
        <x:v>3</x:v>
      </x:c>
      <x:c r="G8" s="11" t="n">
        <x:v>5000000</x:v>
      </x:c>
      <x:c r="H8" s="12" t="n">
        <x:f>F8*G8</x:f>
        <x:v>15000000</x:v>
      </x:c>
      <x:c r="I8" s="11" t="n">
        <x:v>10000000</x:v>
      </x:c>
      <x:c r="J8" s="9" t="d">
        <x:v>2026-09-02T05:00:00.000Z</x:v>
      </x:c>
      <x:c r="K8" s="12" t="n">
        <x:f>H8-I8</x:f>
        <x:v>5000000</x:v>
      </x:c>
      <x:c r="L8" s="13" t="str">
        <x:f>IF(K8=0,"Lunas",IF(C8&lt;DATE(2026,10,27),"Terlambat",IF(I8&gt;0,"Sebagian","Belum dibayar")))</x:f>
        <x:v>Terlambat</x:v>
      </x:c>
    </x:row>
    <x:row r="9" ht="22" customHeight="1">
      <x:c r="A9" s="2" t="str">
        <x:v>INV-2026-003</x:v>
      </x:c>
      <x:c r="B9" s="9" t="d">
        <x:v>2026-09-03T05:00:00.000Z</x:v>
      </x:c>
      <x:c r="C9" s="9" t="d">
        <x:v>2026-10-03T05:00:00.000Z</x:v>
      </x:c>
      <x:c r="D9" s="2" t="str">
        <x:v>PT Cakrawala Logistik (Fiktif)</x:v>
      </x:c>
      <x:c r="E9" s="2" t="str">
        <x:v>Perlengkapan pertahanan C-03 (dummy)</x:v>
      </x:c>
      <x:c r="F9" s="10" t="n">
        <x:v>4</x:v>
      </x:c>
      <x:c r="G9" s="11" t="n">
        <x:v>12500000</x:v>
      </x:c>
      <x:c r="H9" s="12" t="n">
        <x:f>F9*G9</x:f>
        <x:v>50000000</x:v>
      </x:c>
      <x:c r="I9" s="11" t="n">
        <x:v>50000000</x:v>
      </x:c>
      <x:c r="J9" s="9" t="d">
        <x:v>2026-09-22T05:00:00.000Z</x:v>
      </x:c>
      <x:c r="K9" s="12" t="n">
        <x:f>H9-I9</x:f>
        <x:v>0</x:v>
      </x:c>
      <x:c r="L9" s="13" t="str">
        <x:f>IF(K9=0,"Lunas",IF(C9&lt;DATE(2026,10,27),"Terlambat",IF(I9&gt;0,"Sebagian","Belum dibayar")))</x:f>
        <x:v>Lunas</x:v>
      </x:c>
    </x:row>
    <x:row r="10" ht="22" customHeight="1">
      <x:c r="A10" s="2" t="str">
        <x:v>INV-2026-004</x:v>
      </x:c>
      <x:c r="B10" s="9" t="d">
        <x:v>2026-09-11T05:00:00.000Z</x:v>
      </x:c>
      <x:c r="C10" s="9" t="d">
        <x:v>2026-10-30T05:00:00.000Z</x:v>
      </x:c>
      <x:c r="D10" s="2" t="str">
        <x:v>PT Bina Mitra Nusantara (Fiktif)</x:v>
      </x:c>
      <x:c r="E10" s="2" t="str">
        <x:v>Komponen pendukung D-04 (dummy)</x:v>
      </x:c>
      <x:c r="F10" s="10" t="n">
        <x:v>2</x:v>
      </x:c>
      <x:c r="G10" s="11" t="n">
        <x:v>8500000</x:v>
      </x:c>
      <x:c r="H10" s="12" t="n">
        <x:f>F10*G10</x:f>
        <x:v>17000000</x:v>
      </x:c>
      <x:c r="I10" s="11" t="n">
        <x:v>7000000</x:v>
      </x:c>
      <x:c r="J10" s="9" t="d">
        <x:v>2026-09-29T05:00:00.000Z</x:v>
      </x:c>
      <x:c r="K10" s="12" t="n">
        <x:f>H10-I10</x:f>
        <x:v>10000000</x:v>
      </x:c>
      <x:c r="L10" s="13" t="str">
        <x:f>IF(K10=0,"Lunas",IF(C10&lt;DATE(2026,10,27),"Terlambat",IF(I10&gt;0,"Sebagian","Belum dibayar")))</x:f>
        <x:v>Sebagian</x:v>
      </x:c>
    </x:row>
    <x:row r="11" ht="22" customHeight="1">
      <x:c r="A11" s="2" t="str">
        <x:v>INV-2026-005</x:v>
      </x:c>
      <x:c r="B11" s="9" t="d">
        <x:v>2026-09-18T05:00:00.000Z</x:v>
      </x:c>
      <x:c r="C11" s="9" t="d">
        <x:v>2026-10-18T05:00:00.000Z</x:v>
      </x:c>
      <x:c r="D11" s="2" t="str">
        <x:v>PT Garda Perkasa Distribusi (Fiktif)</x:v>
      </x:c>
      <x:c r="E11" s="2" t="str">
        <x:v>Paket latihan E-05 (dummy)</x:v>
      </x:c>
      <x:c r="F11" s="10" t="n">
        <x:v>1</x:v>
      </x:c>
      <x:c r="G11" s="11" t="n">
        <x:v>32000000</x:v>
      </x:c>
      <x:c r="H11" s="12" t="n">
        <x:f>F11*G11</x:f>
        <x:v>32000000</x:v>
      </x:c>
      <x:c r="I11" s="11" t="n">
        <x:v>0</x:v>
      </x:c>
      <x:c r="J11" s="9"/>
      <x:c r="K11" s="12" t="n">
        <x:f>H11-I11</x:f>
        <x:v>32000000</x:v>
      </x:c>
      <x:c r="L11" s="13" t="str">
        <x:f>IF(K11=0,"Lunas",IF(C11&lt;DATE(2026,10,27),"Terlambat",IF(I11&gt;0,"Sebagian","Belum dibayar")))</x:f>
        <x:v>Terlambat</x:v>
      </x:c>
    </x:row>
    <x:row r="12" ht="22" customHeight="1">
      <x:c r="A12" s="2" t="str">
        <x:v>INV-2026-006</x:v>
      </x:c>
      <x:c r="B12" s="9" t="d">
        <x:v>2026-09-25T05:00:00.000Z</x:v>
      </x:c>
      <x:c r="C12" s="9" t="d">
        <x:v>2026-09-25T05:00:00.000Z</x:v>
      </x:c>
      <x:c r="D12" s="2" t="str">
        <x:v>PT Nusantara Mitra Niaga (Fiktif)</x:v>
      </x:c>
      <x:c r="E12" s="2" t="str">
        <x:v>Perlengkapan latihan F-06 (dummy)</x:v>
      </x:c>
      <x:c r="F12" s="10" t="n">
        <x:v>5</x:v>
      </x:c>
      <x:c r="G12" s="11" t="n">
        <x:v>3200000</x:v>
      </x:c>
      <x:c r="H12" s="12" t="n">
        <x:f>F12*G12</x:f>
        <x:v>16000000</x:v>
      </x:c>
      <x:c r="I12" s="11" t="n">
        <x:v>16000000</x:v>
      </x:c>
      <x:c r="J12" s="9" t="d">
        <x:v>2026-09-25T05:00:00.000Z</x:v>
      </x:c>
      <x:c r="K12" s="12" t="n">
        <x:f>H12-I12</x:f>
        <x:v>0</x:v>
      </x:c>
      <x:c r="L12" s="13" t="str">
        <x:f>IF(K12=0,"Lunas",IF(C12&lt;DATE(2026,10,27),"Terlambat",IF(I12&gt;0,"Sebagian","Belum dibayar")))</x:f>
        <x:v>Lunas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30" hidden="0" customWidth="1"/>
    <x:col min="5" max="5" width="36" hidden="0" customWidth="1"/>
    <x:col min="6" max="6" width="22" hidden="0" customWidth="1"/>
    <x:col min="7" max="7" width="20" hidden="0" customWidth="1"/>
    <x:col min="8" max="8" width="20" hidden="0" customWidth="1"/>
    <x:col min="9" max="9" width="14" hidden="0" customWidth="1"/>
    <x:col min="10" max="10" width="18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Siklus Pengeluaran — Pembelian &amp; Pembayaran Pemasok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PT Arunika Persenjataan (Fiktif) · Periode Agustus–September 2026 · Ringkasan per 27 Oktober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5" t="str">
        <x:v>Utang terbuka dihitung dari nilai tagihan dikurangi pembayaran yang sudah dilakukan.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8" t="str">
        <x:v>No Tagihan</x:v>
      </x:c>
      <x:c r="B6" s="8" t="str">
        <x:v>Tanggal</x:v>
      </x:c>
      <x:c r="C6" s="8" t="str">
        <x:v>Jatuh Tempo</x:v>
      </x:c>
      <x:c r="D6" s="8" t="str">
        <x:v>Pemasok (Fiktif)</x:v>
      </x:c>
      <x:c r="E6" s="8" t="str">
        <x:v>Uraian</x:v>
      </x:c>
      <x:c r="F6" s="8" t="str">
        <x:v>Kategori</x:v>
      </x:c>
      <x:c r="G6" s="8" t="str">
        <x:v>Nilai Tagihan (Rp)</x:v>
      </x:c>
      <x:c r="H6" s="8" t="str">
        <x:v>Kas Keluar (Rp)</x:v>
      </x:c>
      <x:c r="I6" s="8" t="str">
        <x:v>Tanggal Bayar</x:v>
      </x:c>
      <x:c r="J6" s="8" t="str">
        <x:v>Utang (Rp)</x:v>
      </x:c>
      <x:c r="K6" s="8" t="str">
        <x:v>Status</x:v>
      </x:c>
      <x:c r="L6" s="2"/>
      <x:c r="M6" s="2"/>
      <x:c r="N6" s="2"/>
      <x:c r="O6" s="2"/>
    </x:row>
    <x:row r="7" ht="22" customHeight="1">
      <x:c r="A7" s="2" t="str">
        <x:v>BILL-2026-001</x:v>
      </x:c>
      <x:c r="B7" s="9" t="d">
        <x:v>2026-08-04T05:00:00.000Z</x:v>
      </x:c>
      <x:c r="C7" s="9" t="d">
        <x:v>2026-09-03T05:00:00.000Z</x:v>
      </x:c>
      <x:c r="D7" s="2" t="str">
        <x:v>PT Pilar Komponen (Fiktif)</x:v>
      </x:c>
      <x:c r="E7" s="2" t="str">
        <x:v>Bahan baku produksi</x:v>
      </x:c>
      <x:c r="F7" s="2" t="str">
        <x:v>Persediaan bahan</x:v>
      </x:c>
      <x:c r="G7" s="11" t="n">
        <x:v>32000000</x:v>
      </x:c>
      <x:c r="H7" s="11" t="n">
        <x:v>32000000</x:v>
      </x:c>
      <x:c r="I7" s="9" t="d">
        <x:v>2026-08-30T05:00:00.000Z</x:v>
      </x:c>
      <x:c r="J7" s="12" t="n">
        <x:f>G7-H7</x:f>
        <x:v>0</x:v>
      </x:c>
      <x:c r="K7" s="13" t="str">
        <x:f>IF(J7=0,"Lunas",IF(C7&lt;DATE(2026,10,27),"Terlambat",IF(H7&gt;0,"Sebagian","Belum dibayar")))</x:f>
        <x:v>Lunas</x:v>
      </x:c>
    </x:row>
    <x:row r="8" ht="22" customHeight="1">
      <x:c r="A8" s="2" t="str">
        <x:v>BILL-2026-002</x:v>
      </x:c>
      <x:c r="B8" s="9" t="d">
        <x:v>2026-08-15T05:00:00.000Z</x:v>
      </x:c>
      <x:c r="C8" s="9" t="d">
        <x:v>2026-09-14T05:00:00.000Z</x:v>
      </x:c>
      <x:c r="D8" s="2" t="str">
        <x:v>CV Aruna Sarana (Fiktif)</x:v>
      </x:c>
      <x:c r="E8" s="2" t="str">
        <x:v>Komponen pendukung produksi</x:v>
      </x:c>
      <x:c r="F8" s="2" t="str">
        <x:v>Persediaan bahan</x:v>
      </x:c>
      <x:c r="G8" s="11" t="n">
        <x:v>12000000</x:v>
      </x:c>
      <x:c r="H8" s="11" t="n">
        <x:v>7000000</x:v>
      </x:c>
      <x:c r="I8" s="9" t="d">
        <x:v>2026-09-05T05:00:00.000Z</x:v>
      </x:c>
      <x:c r="J8" s="12" t="n">
        <x:f>G8-H8</x:f>
        <x:v>5000000</x:v>
      </x:c>
      <x:c r="K8" s="13" t="str">
        <x:f>IF(J8=0,"Lunas",IF(C8&lt;DATE(2026,10,27),"Terlambat",IF(H8&gt;0,"Sebagian","Belum dibayar")))</x:f>
        <x:v>Terlambat</x:v>
      </x:c>
    </x:row>
    <x:row r="9" ht="22" customHeight="1">
      <x:c r="A9" s="2" t="str">
        <x:v>BILL-2026-003</x:v>
      </x:c>
      <x:c r="B9" s="9" t="d">
        <x:v>2026-09-01T05:00:00.000Z</x:v>
      </x:c>
      <x:c r="C9" s="9" t="d">
        <x:v>2026-09-30T05:00:00.000Z</x:v>
      </x:c>
      <x:c r="D9" s="2" t="str">
        <x:v>PT Cakrawala Logistik (Fiktif)</x:v>
      </x:c>
      <x:c r="E9" s="2" t="str">
        <x:v>Bahan pendukung produksi</x:v>
      </x:c>
      <x:c r="F9" s="2" t="str">
        <x:v>Persediaan bahan</x:v>
      </x:c>
      <x:c r="G9" s="11" t="n">
        <x:v>20000000</x:v>
      </x:c>
      <x:c r="H9" s="11" t="n">
        <x:v>0</x:v>
      </x:c>
      <x:c r="I9" s="9"/>
      <x:c r="J9" s="12" t="n">
        <x:f>G9-H9</x:f>
        <x:v>20000000</x:v>
      </x:c>
      <x:c r="K9" s="13" t="str">
        <x:f>IF(J9=0,"Lunas",IF(C9&lt;DATE(2026,10,27),"Terlambat",IF(H9&gt;0,"Sebagian","Belum dibayar")))</x:f>
        <x:v>Terlambat</x:v>
      </x:c>
    </x:row>
    <x:row r="10" ht="22" customHeight="1">
      <x:c r="A10" s="2" t="str">
        <x:v>BILL-2026-004</x:v>
      </x:c>
      <x:c r="B10" s="9" t="d">
        <x:v>2026-09-12T05:00:00.000Z</x:v>
      </x:c>
      <x:c r="C10" s="9" t="d">
        <x:v>2026-10-12T05:00:00.000Z</x:v>
      </x:c>
      <x:c r="D10" s="2" t="str">
        <x:v>PT Bina Mitra Nusantara (Fiktif)</x:v>
      </x:c>
      <x:c r="E10" s="2" t="str">
        <x:v>Pemeliharaan fasilitas produksi</x:v>
      </x:c>
      <x:c r="F10" s="2" t="str">
        <x:v>Overhead produksi</x:v>
      </x:c>
      <x:c r="G10" s="11" t="n">
        <x:v>8000000</x:v>
      </x:c>
      <x:c r="H10" s="11" t="n">
        <x:v>8000000</x:v>
      </x:c>
      <x:c r="I10" s="9" t="d">
        <x:v>2026-09-28T05:00:00.000Z</x:v>
      </x:c>
      <x:c r="J10" s="12" t="n">
        <x:f>G10-H10</x:f>
        <x:v>0</x:v>
      </x:c>
      <x:c r="K10" s="13" t="str">
        <x:f>IF(J10=0,"Lunas",IF(C10&lt;DATE(2026,10,27),"Terlambat",IF(H10&gt;0,"Sebagian","Belum dibayar")))</x:f>
        <x:v>Lunas</x:v>
      </x:c>
    </x:row>
    <x:row r="11" ht="22" customHeight="1">
      <x:c r="A11" s="2" t="str">
        <x:v>BILL-2026-005</x:v>
      </x:c>
      <x:c r="B11" s="9" t="d">
        <x:v>2026-09-20T05:00:00.000Z</x:v>
      </x:c>
      <x:c r="C11" s="9" t="d">
        <x:v>2026-10-20T05:00:00.000Z</x:v>
      </x:c>
      <x:c r="D11" s="2" t="str">
        <x:v>PT Garda Layanan (Fiktif)</x:v>
      </x:c>
      <x:c r="E11" s="2" t="str">
        <x:v>Layanan pelatihan keselamatan</x:v>
      </x:c>
      <x:c r="F11" s="2" t="str">
        <x:v>Beban operasional</x:v>
      </x:c>
      <x:c r="G11" s="11" t="n">
        <x:v>9000000</x:v>
      </x:c>
      <x:c r="H11" s="11" t="n">
        <x:v>0</x:v>
      </x:c>
      <x:c r="I11" s="9"/>
      <x:c r="J11" s="12" t="n">
        <x:f>G11-H11</x:f>
        <x:v>9000000</x:v>
      </x:c>
      <x:c r="K11" s="13" t="str">
        <x:f>IF(J11=0,"Lunas",IF(C11&lt;DATE(2026,10,27),"Terlambat",IF(H11&gt;0,"Sebagian","Belum dibayar")))</x:f>
        <x:v>Terlambat</x:v>
      </x:c>
    </x:row>
    <x:row r="12" ht="22" customHeight="1">
      <x:c r="A12" s="2" t="str">
        <x:v>BILL-2026-006</x:v>
      </x:c>
      <x:c r="B12" s="9" t="d">
        <x:v>2026-10-01T05:00:00.000Z</x:v>
      </x:c>
      <x:c r="C12" s="9" t="d">
        <x:v>2026-10-31T05:00:00.000Z</x:v>
      </x:c>
      <x:c r="D12" s="2" t="str">
        <x:v>CV Nusantara Niaga (Fiktif)</x:v>
      </x:c>
      <x:c r="E12" s="2" t="str">
        <x:v>Bahan untuk periode berikutnya</x:v>
      </x:c>
      <x:c r="F12" s="2" t="str">
        <x:v>Persediaan bahan</x:v>
      </x:c>
      <x:c r="G12" s="11" t="n">
        <x:v>3000000</x:v>
      </x:c>
      <x:c r="H12" s="11" t="n">
        <x:v>0</x:v>
      </x:c>
      <x:c r="I12" s="9"/>
      <x:c r="J12" s="12" t="n">
        <x:f>G12-H12</x:f>
        <x:v>3000000</x:v>
      </x:c>
      <x:c r="K12" s="13" t="str">
        <x:f>IF(J12=0,"Lunas",IF(C12&lt;DATE(2026,10,27),"Terlambat",IF(H12&gt;0,"Sebagian","Belum dibayar")))</x:f>
        <x:v>Belum dibayar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7" hidden="0" customWidth="1"/>
    <x:col min="4" max="4" width="38" hidden="0" customWidth="1"/>
    <x:col min="5" max="5" width="10" hidden="0" customWidth="1"/>
    <x:col min="6" max="6" width="19" hidden="0" customWidth="1"/>
    <x:col min="7" max="7" width="21" hidden="0" customWidth="1"/>
    <x:col min="8" max="8" width="19" hidden="0" customWidth="1"/>
    <x:col min="9" max="9" width="20" hidden="0" customWidth="1"/>
    <x:col min="10" max="10" width="21" hidden="0" customWidth="1"/>
    <x:col min="11" max="11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Siklus Produksi — Perintah &amp; Harga Pokok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PT Arunika Persenjataan (Fiktif) · Periode Agustus–September 2026 · Ringkasan per 27 Oktober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5" t="str">
        <x:v>Harga pokok dihitung sebagai bahan + tenaga kerja langsung + overhead. Seluruh produk hanya contoh umum.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8" t="str">
        <x:v>No Perintah</x:v>
      </x:c>
      <x:c r="B6" s="8" t="str">
        <x:v>Tanggal</x:v>
      </x:c>
      <x:c r="C6" s="8" t="str">
        <x:v>Faktur Terkait</x:v>
      </x:c>
      <x:c r="D6" s="8" t="str">
        <x:v>Produk / Jasa (Dummy)</x:v>
      </x:c>
      <x:c r="E6" s="8" t="str">
        <x:v>Unit</x:v>
      </x:c>
      <x:c r="F6" s="8" t="str">
        <x:v>Bahan Baku (Rp)</x:v>
      </x:c>
      <x:c r="G6" s="8" t="str">
        <x:v>Tenaga Kerja (Rp)</x:v>
      </x:c>
      <x:c r="H6" s="8" t="str">
        <x:v>Overhead (Rp)</x:v>
      </x:c>
      <x:c r="I6" s="8" t="str">
        <x:v>Biaya Total (Rp)</x:v>
      </x:c>
      <x:c r="J6" s="8" t="str">
        <x:v>Biaya per Unit (Rp)</x:v>
      </x:c>
      <x:c r="K6" s="8" t="str">
        <x:v>Status</x:v>
      </x:c>
      <x:c r="L6" s="2"/>
      <x:c r="M6" s="2"/>
      <x:c r="N6" s="2"/>
      <x:c r="O6" s="2"/>
    </x:row>
    <x:row r="7" ht="22" customHeight="1">
      <x:c r="A7" s="2" t="str">
        <x:v>PRD-2026-001</x:v>
      </x:c>
      <x:c r="B7" s="9" t="d">
        <x:v>2026-08-05T05:00:00.000Z</x:v>
      </x:c>
      <x:c r="C7" s="2" t="str">
        <x:v>INV-2026-001</x:v>
      </x:c>
      <x:c r="D7" s="2" t="str">
        <x:v>Perlengkapan pertahanan A-01 (dummy)</x:v>
      </x:c>
      <x:c r="E7" s="10" t="n">
        <x:v>2</x:v>
      </x:c>
      <x:c r="F7" s="11" t="n">
        <x:v>10000000</x:v>
      </x:c>
      <x:c r="G7" s="11" t="n">
        <x:v>3000000</x:v>
      </x:c>
      <x:c r="H7" s="11" t="n">
        <x:v>2000000</x:v>
      </x:c>
      <x:c r="I7" s="12" t="n">
        <x:f>F7+G7+H7</x:f>
        <x:v>15000000</x:v>
      </x:c>
      <x:c r="J7" s="12" t="n">
        <x:f>I7/E7</x:f>
        <x:v>7500000</x:v>
      </x:c>
      <x:c r="K7" s="2" t="str">
        <x:v>Selesai</x:v>
      </x:c>
    </x:row>
    <x:row r="8" ht="22" customHeight="1">
      <x:c r="A8" s="2" t="str">
        <x:v>PRD-2026-002</x:v>
      </x:c>
      <x:c r="B8" s="9" t="d">
        <x:v>2026-08-18T05:00:00.000Z</x:v>
      </x:c>
      <x:c r="C8" s="2" t="str">
        <x:v>INV-2026-002</x:v>
      </x:c>
      <x:c r="D8" s="2" t="str">
        <x:v>Komponen pendukung B-02 (dummy)</x:v>
      </x:c>
      <x:c r="E8" s="10" t="n">
        <x:v>3</x:v>
      </x:c>
      <x:c r="F8" s="11" t="n">
        <x:v>7000000</x:v>
      </x:c>
      <x:c r="G8" s="11" t="n">
        <x:v>2000000</x:v>
      </x:c>
      <x:c r="H8" s="11" t="n">
        <x:v>1500000</x:v>
      </x:c>
      <x:c r="I8" s="12" t="n">
        <x:f>F8+G8+H8</x:f>
        <x:v>10500000</x:v>
      </x:c>
      <x:c r="J8" s="12" t="n">
        <x:f>I8/E8</x:f>
        <x:v>3500000</x:v>
      </x:c>
      <x:c r="K8" s="2" t="str">
        <x:v>Selesai</x:v>
      </x:c>
    </x:row>
    <x:row r="9" ht="22" customHeight="1">
      <x:c r="A9" s="2" t="str">
        <x:v>PRD-2026-003</x:v>
      </x:c>
      <x:c r="B9" s="9" t="d">
        <x:v>2026-09-02T05:00:00.000Z</x:v>
      </x:c>
      <x:c r="C9" s="2" t="str">
        <x:v>INV-2026-003</x:v>
      </x:c>
      <x:c r="D9" s="2" t="str">
        <x:v>Perlengkapan pertahanan C-03 (dummy)</x:v>
      </x:c>
      <x:c r="E9" s="10" t="n">
        <x:v>4</x:v>
      </x:c>
      <x:c r="F9" s="11" t="n">
        <x:v>23000000</x:v>
      </x:c>
      <x:c r="G9" s="11" t="n">
        <x:v>5000000</x:v>
      </x:c>
      <x:c r="H9" s="11" t="n">
        <x:v>4000000</x:v>
      </x:c>
      <x:c r="I9" s="12" t="n">
        <x:f>F9+G9+H9</x:f>
        <x:v>32000000</x:v>
      </x:c>
      <x:c r="J9" s="12" t="n">
        <x:f>I9/E9</x:f>
        <x:v>8000000</x:v>
      </x:c>
      <x:c r="K9" s="2" t="str">
        <x:v>Selesai</x:v>
      </x:c>
    </x:row>
    <x:row r="10" ht="22" customHeight="1">
      <x:c r="A10" s="2" t="str">
        <x:v>PRD-2026-004</x:v>
      </x:c>
      <x:c r="B10" s="9" t="d">
        <x:v>2026-09-08T05:00:00.000Z</x:v>
      </x:c>
      <x:c r="C10" s="2" t="str">
        <x:v>INV-2026-004</x:v>
      </x:c>
      <x:c r="D10" s="2" t="str">
        <x:v>Komponen pendukung D-04 (dummy)</x:v>
      </x:c>
      <x:c r="E10" s="10" t="n">
        <x:v>2</x:v>
      </x:c>
      <x:c r="F10" s="11" t="n">
        <x:v>8000000</x:v>
      </x:c>
      <x:c r="G10" s="11" t="n">
        <x:v>2000000</x:v>
      </x:c>
      <x:c r="H10" s="11" t="n">
        <x:v>2000000</x:v>
      </x:c>
      <x:c r="I10" s="12" t="n">
        <x:f>F10+G10+H10</x:f>
        <x:v>12000000</x:v>
      </x:c>
      <x:c r="J10" s="12" t="n">
        <x:f>I10/E10</x:f>
        <x:v>6000000</x:v>
      </x:c>
      <x:c r="K10" s="2" t="str">
        <x:v>Selesai</x:v>
      </x:c>
    </x:row>
    <x:row r="11" ht="22" customHeight="1">
      <x:c r="A11" s="2" t="str">
        <x:v>PRD-2026-005</x:v>
      </x:c>
      <x:c r="B11" s="9" t="d">
        <x:v>2026-09-15T05:00:00.000Z</x:v>
      </x:c>
      <x:c r="C11" s="2" t="str">
        <x:v>INV-2026-005</x:v>
      </x:c>
      <x:c r="D11" s="2" t="str">
        <x:v>Paket latihan E-05 (dummy)</x:v>
      </x:c>
      <x:c r="E11" s="10" t="n">
        <x:v>1</x:v>
      </x:c>
      <x:c r="F11" s="11" t="n">
        <x:v>11000000</x:v>
      </x:c>
      <x:c r="G11" s="11" t="n">
        <x:v>3000000</x:v>
      </x:c>
      <x:c r="H11" s="11" t="n">
        <x:v>3000000</x:v>
      </x:c>
      <x:c r="I11" s="12" t="n">
        <x:f>F11+G11+H11</x:f>
        <x:v>17000000</x:v>
      </x:c>
      <x:c r="J11" s="12" t="n">
        <x:f>I11/E11</x:f>
        <x:v>17000000</x:v>
      </x:c>
      <x:c r="K11" s="2" t="str">
        <x:v>Selesai</x:v>
      </x:c>
    </x:row>
    <x:row r="12" ht="22" customHeight="1">
      <x:c r="A12" s="2" t="str">
        <x:v>PRD-2026-006</x:v>
      </x:c>
      <x:c r="B12" s="9" t="d">
        <x:v>2026-09-22T05:00:00.000Z</x:v>
      </x:c>
      <x:c r="C12" s="2" t="str">
        <x:v>INV-2026-006</x:v>
      </x:c>
      <x:c r="D12" s="2" t="str">
        <x:v>Perlengkapan latihan F-06 (dummy)</x:v>
      </x:c>
      <x:c r="E12" s="10" t="n">
        <x:v>5</x:v>
      </x:c>
      <x:c r="F12" s="11" t="n">
        <x:v>5000000</x:v>
      </x:c>
      <x:c r="G12" s="11" t="n">
        <x:v>1000000</x:v>
      </x:c>
      <x:c r="H12" s="11" t="n">
        <x:v>2000000</x:v>
      </x:c>
      <x:c r="I12" s="12" t="n">
        <x:f>F12+G12+H12</x:f>
        <x:v>8000000</x:v>
      </x:c>
      <x:c r="J12" s="12" t="n">
        <x:f>I12/E12</x:f>
        <x:v>1600000</x:v>
      </x:c>
      <x:c r="K12" s="2" t="str">
        <x:v>Selesai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7" hidden="0" customWidth="1"/>
    <x:col min="5" max="5" width="18" hidden="0" customWidth="1"/>
    <x:col min="6" max="6" width="20" hidden="0" customWidth="1"/>
    <x:col min="7" max="7" width="23" hidden="0" customWidth="1"/>
    <x:col min="8" max="8" width="20" hidden="0" customWidth="1"/>
    <x:col min="9" max="9" width="15" hidden="0" customWidth="1"/>
    <x:col min="10" max="1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Siklus Penggajian / SDM — Slip Gaji Contoh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PT Arunika Persenjataan (Fiktif) · Periode Agustus–September 2026 · Ringkasan per 27 Oktober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5" t="str">
        <x:v>Potongan diisi manual sebagai contoh; workbook tidak menghitung pajak atau aturan penggajian resmi.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8" t="str">
        <x:v>No Slip</x:v>
      </x:c>
      <x:c r="B6" s="8" t="str">
        <x:v>Periode</x:v>
      </x:c>
      <x:c r="C6" s="8" t="str">
        <x:v>ID Karyawan</x:v>
      </x:c>
      <x:c r="D6" s="8" t="str">
        <x:v>Nama (Fiktif)</x:v>
      </x:c>
      <x:c r="E6" s="8" t="str">
        <x:v>Bagian</x:v>
      </x:c>
      <x:c r="F6" s="8" t="str">
        <x:v>Gaji Kotor (Rp)</x:v>
      </x:c>
      <x:c r="G6" s="8" t="str">
        <x:v>Potongan Simulasi (Rp)</x:v>
      </x:c>
      <x:c r="H6" s="8" t="str">
        <x:v>Gaji Bersih (Rp)</x:v>
      </x:c>
      <x:c r="I6" s="8" t="str">
        <x:v>Tanggal Bayar</x:v>
      </x:c>
      <x:c r="J6" s="8" t="str">
        <x:v>Status</x:v>
      </x:c>
      <x:c r="K6" s="2"/>
      <x:c r="L6" s="2"/>
      <x:c r="M6" s="2"/>
      <x:c r="N6" s="2"/>
      <x:c r="O6" s="2"/>
    </x:row>
    <x:row r="7" ht="22" customHeight="1">
      <x:c r="A7" s="2" t="str">
        <x:v>PAY-2026-08-AR-001</x:v>
      </x:c>
      <x:c r="B7" s="2" t="str">
        <x:v>2026-08</x:v>
      </x:c>
      <x:c r="C7" s="2" t="str">
        <x:v>AR-001</x:v>
      </x:c>
      <x:c r="D7" s="2" t="str">
        <x:v>Raka Wibisana</x:v>
      </x:c>
      <x:c r="E7" s="2" t="str">
        <x:v>Produksi</x:v>
      </x:c>
      <x:c r="F7" s="11" t="n">
        <x:v>4500000</x:v>
      </x:c>
      <x:c r="G7" s="11" t="n">
        <x:v>300000</x:v>
      </x:c>
      <x:c r="H7" s="12" t="n">
        <x:f>F7-G7</x:f>
        <x:v>4200000</x:v>
      </x:c>
      <x:c r="I7" s="9" t="d">
        <x:v>2026-09-01T05:00:00.000Z</x:v>
      </x:c>
      <x:c r="J7" s="2" t="str">
        <x:v>Dibayar</x:v>
      </x:c>
    </x:row>
    <x:row r="8" ht="22" customHeight="1">
      <x:c r="A8" s="2" t="str">
        <x:v>PAY-2026-08-AR-002</x:v>
      </x:c>
      <x:c r="B8" s="2" t="str">
        <x:v>2026-08</x:v>
      </x:c>
      <x:c r="C8" s="2" t="str">
        <x:v>AR-002</x:v>
      </x:c>
      <x:c r="D8" s="2" t="str">
        <x:v>Nadia Prameswari</x:v>
      </x:c>
      <x:c r="E8" s="2" t="str">
        <x:v>Produksi</x:v>
      </x:c>
      <x:c r="F8" s="11" t="n">
        <x:v>3500000</x:v>
      </x:c>
      <x:c r="G8" s="11" t="n">
        <x:v>200000</x:v>
      </x:c>
      <x:c r="H8" s="12" t="n">
        <x:f>F8-G8</x:f>
        <x:v>3300000</x:v>
      </x:c>
      <x:c r="I8" s="9" t="d">
        <x:v>2026-09-01T05:00:00.000Z</x:v>
      </x:c>
      <x:c r="J8" s="2" t="str">
        <x:v>Dibayar</x:v>
      </x:c>
    </x:row>
    <x:row r="9" ht="22" customHeight="1">
      <x:c r="A9" s="2" t="str">
        <x:v>PAY-2026-08-AR-003</x:v>
      </x:c>
      <x:c r="B9" s="2" t="str">
        <x:v>2026-08</x:v>
      </x:c>
      <x:c r="C9" s="2" t="str">
        <x:v>AR-003</x:v>
      </x:c>
      <x:c r="D9" s="2" t="str">
        <x:v>Bima Santosa</x:v>
      </x:c>
      <x:c r="E9" s="2" t="str">
        <x:v>Administrasi</x:v>
      </x:c>
      <x:c r="F9" s="11" t="n">
        <x:v>5000000</x:v>
      </x:c>
      <x:c r="G9" s="11" t="n">
        <x:v>300000</x:v>
      </x:c>
      <x:c r="H9" s="12" t="n">
        <x:f>F9-G9</x:f>
        <x:v>4700000</x:v>
      </x:c>
      <x:c r="I9" s="9" t="d">
        <x:v>2026-09-01T05:00:00.000Z</x:v>
      </x:c>
      <x:c r="J9" s="2" t="str">
        <x:v>Dibayar</x:v>
      </x:c>
    </x:row>
    <x:row r="10" ht="22" customHeight="1">
      <x:c r="A10" s="2" t="str">
        <x:v>PAY-2026-08-AR-004</x:v>
      </x:c>
      <x:c r="B10" s="2" t="str">
        <x:v>2026-08</x:v>
      </x:c>
      <x:c r="C10" s="2" t="str">
        <x:v>AR-004</x:v>
      </x:c>
      <x:c r="D10" s="2" t="str">
        <x:v>Tara Kusumawardani</x:v>
      </x:c>
      <x:c r="E10" s="2" t="str">
        <x:v>Penjualan</x:v>
      </x:c>
      <x:c r="F10" s="11" t="n">
        <x:v>4000000</x:v>
      </x:c>
      <x:c r="G10" s="11" t="n">
        <x:v>200000</x:v>
      </x:c>
      <x:c r="H10" s="12" t="n">
        <x:f>F10-G10</x:f>
        <x:v>3800000</x:v>
      </x:c>
      <x:c r="I10" s="9" t="d">
        <x:v>2026-09-01T05:00:00.000Z</x:v>
      </x:c>
      <x:c r="J10" s="2" t="str">
        <x:v>Dibayar</x:v>
      </x:c>
    </x:row>
    <x:row r="11" ht="22" customHeight="1">
      <x:c r="A11" s="2" t="str">
        <x:v>PAY-2026-09-AR-001</x:v>
      </x:c>
      <x:c r="B11" s="2" t="str">
        <x:v>2026-09</x:v>
      </x:c>
      <x:c r="C11" s="2" t="str">
        <x:v>AR-001</x:v>
      </x:c>
      <x:c r="D11" s="2" t="str">
        <x:v>Raka Wibisana</x:v>
      </x:c>
      <x:c r="E11" s="2" t="str">
        <x:v>Produksi</x:v>
      </x:c>
      <x:c r="F11" s="11" t="n">
        <x:v>4500000</x:v>
      </x:c>
      <x:c r="G11" s="11" t="n">
        <x:v>300000</x:v>
      </x:c>
      <x:c r="H11" s="12" t="n">
        <x:f>F11-G11</x:f>
        <x:v>4200000</x:v>
      </x:c>
      <x:c r="I11" s="9" t="d">
        <x:v>2026-10-01T05:00:00.000Z</x:v>
      </x:c>
      <x:c r="J11" s="2" t="str">
        <x:v>Dibayar</x:v>
      </x:c>
    </x:row>
    <x:row r="12" ht="22" customHeight="1">
      <x:c r="A12" s="2" t="str">
        <x:v>PAY-2026-09-AR-002</x:v>
      </x:c>
      <x:c r="B12" s="2" t="str">
        <x:v>2026-09</x:v>
      </x:c>
      <x:c r="C12" s="2" t="str">
        <x:v>AR-002</x:v>
      </x:c>
      <x:c r="D12" s="2" t="str">
        <x:v>Nadia Prameswari</x:v>
      </x:c>
      <x:c r="E12" s="2" t="str">
        <x:v>Produksi</x:v>
      </x:c>
      <x:c r="F12" s="11" t="n">
        <x:v>3500000</x:v>
      </x:c>
      <x:c r="G12" s="11" t="n">
        <x:v>200000</x:v>
      </x:c>
      <x:c r="H12" s="12" t="n">
        <x:f>F12-G12</x:f>
        <x:v>3300000</x:v>
      </x:c>
      <x:c r="I12" s="9" t="d">
        <x:v>2026-10-01T05:00:00.000Z</x:v>
      </x:c>
      <x:c r="J12" s="2" t="str">
        <x:v>Dibayar</x:v>
      </x:c>
    </x:row>
    <x:row r="13" ht="22" customHeight="1">
      <x:c r="A13" s="2" t="str">
        <x:v>PAY-2026-09-AR-003</x:v>
      </x:c>
      <x:c r="B13" s="2" t="str">
        <x:v>2026-09</x:v>
      </x:c>
      <x:c r="C13" s="2" t="str">
        <x:v>AR-003</x:v>
      </x:c>
      <x:c r="D13" s="2" t="str">
        <x:v>Bima Santosa</x:v>
      </x:c>
      <x:c r="E13" s="2" t="str">
        <x:v>Administrasi</x:v>
      </x:c>
      <x:c r="F13" s="11" t="n">
        <x:v>5000000</x:v>
      </x:c>
      <x:c r="G13" s="11" t="n">
        <x:v>300000</x:v>
      </x:c>
      <x:c r="H13" s="12" t="n">
        <x:f>F13-G13</x:f>
        <x:v>4700000</x:v>
      </x:c>
      <x:c r="I13" s="9" t="d">
        <x:v>2026-10-01T05:00:00.000Z</x:v>
      </x:c>
      <x:c r="J13" s="2" t="str">
        <x:v>Dibayar</x:v>
      </x:c>
    </x:row>
    <x:row r="14" ht="22" customHeight="1">
      <x:c r="A14" s="2" t="str">
        <x:v>PAY-2026-09-AR-004</x:v>
      </x:c>
      <x:c r="B14" s="2" t="str">
        <x:v>2026-09</x:v>
      </x:c>
      <x:c r="C14" s="2" t="str">
        <x:v>AR-004</x:v>
      </x:c>
      <x:c r="D14" s="2" t="str">
        <x:v>Tara Kusumawardani</x:v>
      </x:c>
      <x:c r="E14" s="2" t="str">
        <x:v>Penjualan</x:v>
      </x:c>
      <x:c r="F14" s="11" t="n">
        <x:v>4000000</x:v>
      </x:c>
      <x:c r="G14" s="11" t="n">
        <x:v>200000</x:v>
      </x:c>
      <x:c r="H14" s="12" t="n">
        <x:f>F14-G14</x:f>
        <x:v>3800000</x:v>
      </x:c>
      <x:c r="I14" s="9" t="d">
        <x:v>2026-10-01T05:00:00.000Z</x:v>
      </x:c>
      <x:c r="J14" s="2" t="str">
        <x:v>Dibayar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40" hidden="0" customWidth="1"/>
    <x:col min="5" max="5" width="31" hidden="0" customWidth="1"/>
    <x:col min="6" max="6" width="20" hidden="0" customWidth="1"/>
    <x:col min="7" max="7" width="20" hidden="0" customWidth="1"/>
  </x:cols>
  <x:sheetData>
    <x:row r="1">
      <x:c r="A1" s="29"/>
      <x:c r="B1" s="29"/>
      <x:c r="C1" s="29"/>
      <x:c r="D1" s="29"/>
      <x:c r="E1" s="29"/>
      <x:c r="F1" s="29"/>
      <x:c r="G1" s="29"/>
      <x:c r="H1" s="2"/>
      <x:c r="I1" s="2"/>
      <x:c r="J1" s="2"/>
      <x:c r="K1" s="2"/>
      <x:c r="L1" s="2"/>
      <x:c r="M1" s="2"/>
      <x:c r="N1" s="2"/>
      <x:c r="O1" s="2"/>
    </x:row>
    <x:row r="2">
      <x:c r="A2" s="30" t="str">
        <x:v>Siklus Buku Besar — Jurnal Ringkas &amp; Neraca Saldo</x:v>
      </x:c>
      <x:c r="B2" s="29"/>
      <x:c r="C2" s="29"/>
      <x:c r="D2" s="29"/>
      <x:c r="E2" s="29"/>
      <x:c r="F2" s="29"/>
      <x:c r="G2" s="29"/>
      <x:c r="H2" s="2"/>
      <x:c r="I2" s="2"/>
      <x:c r="J2" s="2"/>
      <x:c r="K2" s="2"/>
      <x:c r="L2" s="2"/>
      <x:c r="M2" s="2"/>
      <x:c r="N2" s="2"/>
      <x:c r="O2" s="2"/>
    </x:row>
    <x:row r="3">
      <x:c r="A3" s="31" t="str">
        <x:v>PT Arunika Persenjataan (Fiktif) · Periode Agustus–September 2026 · Ringkasan per 27 Oktober 2026</x:v>
      </x:c>
      <x:c r="B3" s="29"/>
      <x:c r="C3" s="29"/>
      <x:c r="D3" s="29"/>
      <x:c r="E3" s="29"/>
      <x:c r="F3" s="29"/>
      <x:c r="G3" s="29"/>
      <x:c r="H3" s="2"/>
      <x:c r="I3" s="2"/>
      <x:c r="J3" s="2"/>
      <x:c r="K3" s="2"/>
      <x:c r="L3" s="2"/>
      <x:c r="M3" s="2"/>
      <x:c r="N3" s="2"/>
      <x:c r="O3" s="2"/>
    </x:row>
    <x:row r="4">
      <x:c r="A4" s="32" t="str">
        <x:v>Baris jurnal mengambil nilai dari empat tab siklus. Seluruh jurnal adalah contoh dan tidak diposting ke Finova.</x:v>
      </x:c>
      <x:c r="B4" s="29"/>
      <x:c r="C4" s="29"/>
      <x:c r="D4" s="29"/>
      <x:c r="E4" s="29"/>
      <x:c r="F4" s="29"/>
      <x:c r="G4" s="29"/>
      <x:c r="H4" s="2"/>
      <x:c r="I4" s="2"/>
      <x:c r="J4" s="2"/>
      <x:c r="K4" s="2"/>
      <x:c r="L4" s="2"/>
      <x:c r="M4" s="2"/>
      <x:c r="N4" s="2"/>
      <x:c r="O4" s="2"/>
    </x:row>
    <x:row r="5">
      <x:c r="A5" s="29"/>
      <x:c r="B5" s="29"/>
      <x:c r="C5" s="29"/>
      <x:c r="D5" s="29"/>
      <x:c r="E5" s="29"/>
      <x:c r="F5" s="29"/>
      <x:c r="G5" s="29"/>
      <x:c r="H5" s="2"/>
      <x:c r="I5" s="2"/>
      <x:c r="J5" s="2"/>
      <x:c r="K5" s="2"/>
      <x:c r="L5" s="2"/>
      <x:c r="M5" s="2"/>
      <x:c r="N5" s="2"/>
      <x:c r="O5" s="2"/>
    </x:row>
    <x:row r="6" ht="30" customHeight="1">
      <x:c r="A6" s="33" t="str">
        <x:v>Tanggal</x:v>
      </x:c>
      <x:c r="B6" s="33" t="str">
        <x:v>No Bukti</x:v>
      </x:c>
      <x:c r="C6" s="33" t="str">
        <x:v>Siklus</x:v>
      </x:c>
      <x:c r="D6" s="33" t="str">
        <x:v>Keterangan</x:v>
      </x:c>
      <x:c r="E6" s="33" t="str">
        <x:v>Akun</x:v>
      </x:c>
      <x:c r="F6" s="33" t="str">
        <x:v>Debit (Rp)</x:v>
      </x:c>
      <x:c r="G6" s="33" t="str">
        <x:v>Kredit (Rp)</x:v>
      </x:c>
      <x:c r="H6" s="2"/>
      <x:c r="I6" s="2"/>
      <x:c r="J6" s="2"/>
      <x:c r="K6" s="2"/>
      <x:c r="L6" s="2"/>
      <x:c r="M6" s="2"/>
      <x:c r="N6" s="2"/>
      <x:c r="O6" s="2"/>
    </x:row>
    <x:row r="7" ht="22" customHeight="1">
      <x:c r="A7" s="34" t="d">
        <x:v>2026-08-01T05:00:00.000Z</x:v>
      </x:c>
      <x:c r="B7" s="29" t="str">
        <x:v>SALDO-AWAL</x:v>
      </x:c>
      <x:c r="C7" s="29" t="str">
        <x:v>Buku Besar</x:v>
      </x:c>
      <x:c r="D7" s="38" t="str">
        <x:v>Saldo awal kas/bank</x:v>
      </x:c>
      <x:c r="E7" s="38" t="str">
        <x:v>Kas di Bank</x:v>
      </x:c>
      <x:c r="F7" s="35" t="n">
        <x:f>50000000</x:f>
        <x:v>50000000</x:v>
      </x:c>
      <x:c r="G7" s="35" t="n">
        <x:f>0</x:f>
        <x:v>0</x:v>
      </x:c>
    </x:row>
    <x:row r="8" ht="22" customHeight="1">
      <x:c r="A8" s="34" t="d">
        <x:v>2026-08-01T05:00:00.000Z</x:v>
      </x:c>
      <x:c r="B8" s="29" t="str">
        <x:v>SALDO-AWAL</x:v>
      </x:c>
      <x:c r="C8" s="29" t="str">
        <x:v>Buku Besar</x:v>
      </x:c>
      <x:c r="D8" s="38" t="str">
        <x:v>Saldo awal kas/bank</x:v>
      </x:c>
      <x:c r="E8" s="38" t="str">
        <x:v>Modal Pemilik</x:v>
      </x:c>
      <x:c r="F8" s="35" t="n">
        <x:f>0</x:f>
        <x:v>0</x:v>
      </x:c>
      <x:c r="G8" s="35" t="n">
        <x:f>50000000</x:f>
        <x:v>50000000</x:v>
      </x:c>
    </x:row>
    <x:row r="9" ht="22" customHeight="1">
      <x:c r="A9" s="34" t="d">
        <x:v>2026-08-01T05:00:00.000Z</x:v>
      </x:c>
      <x:c r="B9" s="29" t="str">
        <x:v>SALDO-AWAL</x:v>
      </x:c>
      <x:c r="C9" s="29" t="str">
        <x:v>Buku Besar</x:v>
      </x:c>
      <x:c r="D9" s="38" t="str">
        <x:v>Saldo awal peralatan produksi</x:v>
      </x:c>
      <x:c r="E9" s="38" t="str">
        <x:v>Modal Pemilik</x:v>
      </x:c>
      <x:c r="F9" s="35" t="n">
        <x:f>0</x:f>
        <x:v>0</x:v>
      </x:c>
      <x:c r="G9" s="35" t="n">
        <x:f>6500000</x:f>
        <x:v>6500000</x:v>
      </x:c>
    </x:row>
    <x:row r="10" ht="22" customHeight="1">
      <x:c r="A10" s="34" t="d">
        <x:v>2026-08-01T05:00:00.000Z</x:v>
      </x:c>
      <x:c r="B10" s="29" t="str">
        <x:v>SALDO-AWAL</x:v>
      </x:c>
      <x:c r="C10" s="29" t="str">
        <x:v>Buku Besar</x:v>
      </x:c>
      <x:c r="D10" s="38" t="str">
        <x:v>Saldo awal peralatan produksi</x:v>
      </x:c>
      <x:c r="E10" s="38" t="str">
        <x:v>Peralatan Produksi</x:v>
      </x:c>
      <x:c r="F10" s="35" t="n">
        <x:f>6500000</x:f>
        <x:v>6500000</x:v>
      </x:c>
      <x:c r="G10" s="35" t="n">
        <x:f>0</x:f>
        <x:v>0</x:v>
      </x:c>
    </x:row>
    <x:row r="11" ht="22" customHeight="1">
      <x:c r="A11" s="34" t="d">
        <x:v>2026-08-04T05:00:00.000Z</x:v>
      </x:c>
      <x:c r="B11" s="29" t="str">
        <x:v>BILL-2026-001</x:v>
      </x:c>
      <x:c r="C11" s="29" t="str">
        <x:v>Pengeluaran</x:v>
      </x:c>
      <x:c r="D11" s="38" t="str">
        <x:v>Pencatatan tagihan pemasok</x:v>
      </x:c>
      <x:c r="E11" s="38" t="str">
        <x:v>Persediaan Bahan Baku</x:v>
      </x:c>
      <x:c r="F11" s="35" t="n">
        <x:f>Pengeluaran!G7</x:f>
        <x:v>32000000</x:v>
      </x:c>
      <x:c r="G11" s="35" t="n">
        <x:f>0</x:f>
        <x:v>0</x:v>
      </x:c>
    </x:row>
    <x:row r="12" ht="22" customHeight="1">
      <x:c r="A12" s="34" t="d">
        <x:v>2026-08-04T05:00:00.000Z</x:v>
      </x:c>
      <x:c r="B12" s="29" t="str">
        <x:v>BILL-2026-001</x:v>
      </x:c>
      <x:c r="C12" s="29" t="str">
        <x:v>Pengeluaran</x:v>
      </x:c>
      <x:c r="D12" s="38" t="str">
        <x:v>Pencatatan tagihan pemasok</x:v>
      </x:c>
      <x:c r="E12" s="38" t="str">
        <x:v>Utang Usaha</x:v>
      </x:c>
      <x:c r="F12" s="35" t="n">
        <x:f>0</x:f>
        <x:v>0</x:v>
      </x:c>
      <x:c r="G12" s="35" t="n">
        <x:f>Pengeluaran!G7</x:f>
        <x:v>32000000</x:v>
      </x:c>
    </x:row>
    <x:row r="13" ht="22" customHeight="1">
      <x:c r="A13" s="34" t="d">
        <x:v>2026-08-05T05:00:00.000Z</x:v>
      </x:c>
      <x:c r="B13" s="29" t="str">
        <x:v>INV-2026-001</x:v>
      </x:c>
      <x:c r="C13" s="29" t="str">
        <x:v>Pendapatan</x:v>
      </x:c>
      <x:c r="D13" s="38" t="str">
        <x:v>Pengakuan penjualan kredit</x:v>
      </x:c>
      <x:c r="E13" s="38" t="str">
        <x:v>Pendapatan Penjualan</x:v>
      </x:c>
      <x:c r="F13" s="35" t="n">
        <x:f>0</x:f>
        <x:v>0</x:v>
      </x:c>
      <x:c r="G13" s="35" t="n">
        <x:f>Pendapatan!H7</x:f>
        <x:v>20000000</x:v>
      </x:c>
    </x:row>
    <x:row r="14" ht="22" customHeight="1">
      <x:c r="A14" s="34" t="d">
        <x:v>2026-08-05T05:00:00.000Z</x:v>
      </x:c>
      <x:c r="B14" s="29" t="str">
        <x:v>INV-2026-001</x:v>
      </x:c>
      <x:c r="C14" s="29" t="str">
        <x:v>Pendapatan</x:v>
      </x:c>
      <x:c r="D14" s="38" t="str">
        <x:v>Pengakuan penjualan kredit</x:v>
      </x:c>
      <x:c r="E14" s="38" t="str">
        <x:v>Piutang Usaha</x:v>
      </x:c>
      <x:c r="F14" s="35" t="n">
        <x:f>Pendapatan!H7</x:f>
        <x:v>20000000</x:v>
      </x:c>
      <x:c r="G14" s="35" t="n">
        <x:f>0</x:f>
        <x:v>0</x:v>
      </x:c>
    </x:row>
    <x:row r="15" ht="22" customHeight="1">
      <x:c r="A15" s="34" t="d">
        <x:v>2026-08-15T05:00:00.000Z</x:v>
      </x:c>
      <x:c r="B15" s="29" t="str">
        <x:v>BILL-2026-002</x:v>
      </x:c>
      <x:c r="C15" s="29" t="str">
        <x:v>Pengeluaran</x:v>
      </x:c>
      <x:c r="D15" s="38" t="str">
        <x:v>Pencatatan tagihan pemasok</x:v>
      </x:c>
      <x:c r="E15" s="38" t="str">
        <x:v>Persediaan Bahan Baku</x:v>
      </x:c>
      <x:c r="F15" s="35" t="n">
        <x:f>Pengeluaran!G8</x:f>
        <x:v>12000000</x:v>
      </x:c>
      <x:c r="G15" s="35" t="n">
        <x:f>0</x:f>
        <x:v>0</x:v>
      </x:c>
    </x:row>
    <x:row r="16" ht="22" customHeight="1">
      <x:c r="A16" s="34" t="d">
        <x:v>2026-08-15T05:00:00.000Z</x:v>
      </x:c>
      <x:c r="B16" s="29" t="str">
        <x:v>BILL-2026-002</x:v>
      </x:c>
      <x:c r="C16" s="29" t="str">
        <x:v>Pengeluaran</x:v>
      </x:c>
      <x:c r="D16" s="38" t="str">
        <x:v>Pencatatan tagihan pemasok</x:v>
      </x:c>
      <x:c r="E16" s="38" t="str">
        <x:v>Utang Usaha</x:v>
      </x:c>
      <x:c r="F16" s="35" t="n">
        <x:f>0</x:f>
        <x:v>0</x:v>
      </x:c>
      <x:c r="G16" s="35" t="n">
        <x:f>Pengeluaran!G8</x:f>
        <x:v>12000000</x:v>
      </x:c>
    </x:row>
    <x:row r="17" ht="22" customHeight="1">
      <x:c r="A17" s="34" t="d">
        <x:v>2026-08-19T05:00:00.000Z</x:v>
      </x:c>
      <x:c r="B17" s="29" t="str">
        <x:v>INV-2026-002</x:v>
      </x:c>
      <x:c r="C17" s="29" t="str">
        <x:v>Pendapatan</x:v>
      </x:c>
      <x:c r="D17" s="38" t="str">
        <x:v>Pengakuan penjualan kredit</x:v>
      </x:c>
      <x:c r="E17" s="38" t="str">
        <x:v>Pendapatan Penjualan</x:v>
      </x:c>
      <x:c r="F17" s="35" t="n">
        <x:f>0</x:f>
        <x:v>0</x:v>
      </x:c>
      <x:c r="G17" s="35" t="n">
        <x:f>Pendapatan!H8</x:f>
        <x:v>15000000</x:v>
      </x:c>
    </x:row>
    <x:row r="18" ht="22" customHeight="1">
      <x:c r="A18" s="34" t="d">
        <x:v>2026-08-19T05:00:00.000Z</x:v>
      </x:c>
      <x:c r="B18" s="29" t="str">
        <x:v>INV-2026-002</x:v>
      </x:c>
      <x:c r="C18" s="29" t="str">
        <x:v>Pendapatan</x:v>
      </x:c>
      <x:c r="D18" s="38" t="str">
        <x:v>Pengakuan penjualan kredit</x:v>
      </x:c>
      <x:c r="E18" s="38" t="str">
        <x:v>Piutang Usaha</x:v>
      </x:c>
      <x:c r="F18" s="35" t="n">
        <x:f>Pendapatan!H8</x:f>
        <x:v>15000000</x:v>
      </x:c>
      <x:c r="G18" s="35" t="n">
        <x:f>0</x:f>
        <x:v>0</x:v>
      </x:c>
    </x:row>
    <x:row r="19" ht="22" customHeight="1">
      <x:c r="A19" s="34" t="d">
        <x:v>2026-08-25T05:00:00.000Z</x:v>
      </x:c>
      <x:c r="B19" s="29" t="str">
        <x:v>INV-2026-001-TERIMA</x:v>
      </x:c>
      <x:c r="C19" s="29" t="str">
        <x:v>Pendapatan</x:v>
      </x:c>
      <x:c r="D19" s="38" t="str">
        <x:v>Penerimaan pembayaran pelanggan</x:v>
      </x:c>
      <x:c r="E19" s="38" t="str">
        <x:v>Kas di Bank</x:v>
      </x:c>
      <x:c r="F19" s="35" t="n">
        <x:f>Pendapatan!I7</x:f>
        <x:v>20000000</x:v>
      </x:c>
      <x:c r="G19" s="35" t="n">
        <x:f>0</x:f>
        <x:v>0</x:v>
      </x:c>
    </x:row>
    <x:row r="20" ht="22" customHeight="1">
      <x:c r="A20" s="34" t="d">
        <x:v>2026-08-25T05:00:00.000Z</x:v>
      </x:c>
      <x:c r="B20" s="29" t="str">
        <x:v>INV-2026-001-TERIMA</x:v>
      </x:c>
      <x:c r="C20" s="29" t="str">
        <x:v>Pendapatan</x:v>
      </x:c>
      <x:c r="D20" s="38" t="str">
        <x:v>Penerimaan pembayaran pelanggan</x:v>
      </x:c>
      <x:c r="E20" s="38" t="str">
        <x:v>Piutang Usaha</x:v>
      </x:c>
      <x:c r="F20" s="35" t="n">
        <x:f>0</x:f>
        <x:v>0</x:v>
      </x:c>
      <x:c r="G20" s="35" t="n">
        <x:f>Pendapatan!I7</x:f>
        <x:v>20000000</x:v>
      </x:c>
    </x:row>
    <x:row r="21" ht="22" customHeight="1">
      <x:c r="A21" s="34" t="d">
        <x:v>2026-08-30T05:00:00.000Z</x:v>
      </x:c>
      <x:c r="B21" s="29" t="str">
        <x:v>BILL-2026-001-BAYAR</x:v>
      </x:c>
      <x:c r="C21" s="29" t="str">
        <x:v>Pengeluaran</x:v>
      </x:c>
      <x:c r="D21" s="38" t="str">
        <x:v>Pembayaran kepada pemasok</x:v>
      </x:c>
      <x:c r="E21" s="38" t="str">
        <x:v>Kas di Bank</x:v>
      </x:c>
      <x:c r="F21" s="35" t="n">
        <x:f>0</x:f>
        <x:v>0</x:v>
      </x:c>
      <x:c r="G21" s="35" t="n">
        <x:f>Pengeluaran!H7</x:f>
        <x:v>32000000</x:v>
      </x:c>
    </x:row>
    <x:row r="22" ht="22" customHeight="1">
      <x:c r="A22" s="34" t="d">
        <x:v>2026-08-30T05:00:00.000Z</x:v>
      </x:c>
      <x:c r="B22" s="29" t="str">
        <x:v>BILL-2026-001-BAYAR</x:v>
      </x:c>
      <x:c r="C22" s="29" t="str">
        <x:v>Pengeluaran</x:v>
      </x:c>
      <x:c r="D22" s="38" t="str">
        <x:v>Pembayaran kepada pemasok</x:v>
      </x:c>
      <x:c r="E22" s="38" t="str">
        <x:v>Utang Usaha</x:v>
      </x:c>
      <x:c r="F22" s="35" t="n">
        <x:f>Pengeluaran!H7</x:f>
        <x:v>32000000</x:v>
      </x:c>
      <x:c r="G22" s="35" t="n">
        <x:f>0</x:f>
        <x:v>0</x:v>
      </x:c>
    </x:row>
    <x:row r="23" ht="22" customHeight="1">
      <x:c r="A23" s="34" t="d">
        <x:v>2026-08-31T05:00:00.000Z</x:v>
      </x:c>
      <x:c r="B23" s="29" t="str">
        <x:v>PAY-2026-08</x:v>
      </x:c>
      <x:c r="C23" s="29" t="str">
        <x:v>Penggajian</x:v>
      </x:c>
      <x:c r="D23" s="38" t="str">
        <x:v>Alokasi gaji tenaga kerja produksi</x:v>
      </x:c>
      <x:c r="E23" s="38" t="str">
        <x:v>Barang Dalam Proses</x:v>
      </x:c>
      <x:c r="F23" s="35" t="n">
        <x:f>SUMIF('Penggajian'!$E$7:$E$10,"Produksi",'Penggajian'!$F$7:$F$10)</x:f>
        <x:v>8000000</x:v>
      </x:c>
      <x:c r="G23" s="35" t="n">
        <x:f>0</x:f>
        <x:v>0</x:v>
      </x:c>
    </x:row>
    <x:row r="24" ht="22" customHeight="1">
      <x:c r="A24" s="34" t="d">
        <x:v>2026-08-31T05:00:00.000Z</x:v>
      </x:c>
      <x:c r="B24" s="29" t="str">
        <x:v>PAY-2026-08</x:v>
      </x:c>
      <x:c r="C24" s="29" t="str">
        <x:v>Penggajian</x:v>
      </x:c>
      <x:c r="D24" s="38" t="str">
        <x:v>Beban gaji bagian nonproduksi</x:v>
      </x:c>
      <x:c r="E24" s="38" t="str">
        <x:v>Beban Gaji</x:v>
      </x:c>
      <x:c r="F24" s="35" t="n">
        <x:f>SUM('Penggajian'!$F$7:$F$10)-SUMIF('Penggajian'!$E$7:$E$10,"Produksi",'Penggajian'!$F$7:$F$10)</x:f>
        <x:v>9000000</x:v>
      </x:c>
      <x:c r="G24" s="35" t="n">
        <x:f>0</x:f>
        <x:v>0</x:v>
      </x:c>
    </x:row>
    <x:row r="25" ht="22" customHeight="1">
      <x:c r="A25" s="34" t="d">
        <x:v>2026-08-31T05:00:00.000Z</x:v>
      </x:c>
      <x:c r="B25" s="29" t="str">
        <x:v>PAY-2026-08</x:v>
      </x:c>
      <x:c r="C25" s="29" t="str">
        <x:v>Penggajian</x:v>
      </x:c>
      <x:c r="D25" s="38" t="str">
        <x:v>Alokasi gaji tenaga kerja produksi</x:v>
      </x:c>
      <x:c r="E25" s="38" t="str">
        <x:v>Utang Gaji</x:v>
      </x:c>
      <x:c r="F25" s="35" t="n">
        <x:f>0</x:f>
        <x:v>0</x:v>
      </x:c>
      <x:c r="G25" s="35" t="n">
        <x:f>SUMIF('Penggajian'!$E$7:$E$10,"Produksi",'Penggajian'!$F$7:$F$10)</x:f>
        <x:v>8000000</x:v>
      </x:c>
    </x:row>
    <x:row r="26" ht="22" customHeight="1">
      <x:c r="A26" s="34" t="d">
        <x:v>2026-08-31T05:00:00.000Z</x:v>
      </x:c>
      <x:c r="B26" s="29" t="str">
        <x:v>PAY-2026-08</x:v>
      </x:c>
      <x:c r="C26" s="29" t="str">
        <x:v>Penggajian</x:v>
      </x:c>
      <x:c r="D26" s="38" t="str">
        <x:v>Beban gaji bagian nonproduksi</x:v>
      </x:c>
      <x:c r="E26" s="38" t="str">
        <x:v>Utang Gaji</x:v>
      </x:c>
      <x:c r="F26" s="35" t="n">
        <x:f>0</x:f>
        <x:v>0</x:v>
      </x:c>
      <x:c r="G26" s="35" t="n">
        <x:f>SUM('Penggajian'!$F$7:$F$10)-SUMIF('Penggajian'!$E$7:$E$10,"Produksi",'Penggajian'!$F$7:$F$10)</x:f>
        <x:v>9000000</x:v>
      </x:c>
    </x:row>
    <x:row r="27" ht="22" customHeight="1">
      <x:c r="A27" s="34" t="d">
        <x:v>2026-09-01T05:00:00.000Z</x:v>
      </x:c>
      <x:c r="B27" s="29" t="str">
        <x:v>BILL-2026-003</x:v>
      </x:c>
      <x:c r="C27" s="29" t="str">
        <x:v>Pengeluaran</x:v>
      </x:c>
      <x:c r="D27" s="38" t="str">
        <x:v>Pencatatan tagihan pemasok</x:v>
      </x:c>
      <x:c r="E27" s="38" t="str">
        <x:v>Persediaan Bahan Baku</x:v>
      </x:c>
      <x:c r="F27" s="35" t="n">
        <x:f>Pengeluaran!G9</x:f>
        <x:v>20000000</x:v>
      </x:c>
      <x:c r="G27" s="35" t="n">
        <x:f>0</x:f>
        <x:v>0</x:v>
      </x:c>
    </x:row>
    <x:row r="28" ht="22" customHeight="1">
      <x:c r="A28" s="34" t="d">
        <x:v>2026-09-01T05:00:00.000Z</x:v>
      </x:c>
      <x:c r="B28" s="29" t="str">
        <x:v>BILL-2026-003</x:v>
      </x:c>
      <x:c r="C28" s="29" t="str">
        <x:v>Pengeluaran</x:v>
      </x:c>
      <x:c r="D28" s="38" t="str">
        <x:v>Pencatatan tagihan pemasok</x:v>
      </x:c>
      <x:c r="E28" s="38" t="str">
        <x:v>Utang Usaha</x:v>
      </x:c>
      <x:c r="F28" s="35" t="n">
        <x:f>0</x:f>
        <x:v>0</x:v>
      </x:c>
      <x:c r="G28" s="35" t="n">
        <x:f>Pengeluaran!G9</x:f>
        <x:v>20000000</x:v>
      </x:c>
    </x:row>
    <x:row r="29" ht="22" customHeight="1">
      <x:c r="A29" s="34" t="d">
        <x:v>2026-09-01T05:00:00.000Z</x:v>
      </x:c>
      <x:c r="B29" s="29" t="str">
        <x:v>PAY-2026-08-NET</x:v>
      </x:c>
      <x:c r="C29" s="29" t="str">
        <x:v>Penggajian</x:v>
      </x:c>
      <x:c r="D29" s="38" t="str">
        <x:v>Pembayaran gaji bersih</x:v>
      </x:c>
      <x:c r="E29" s="38" t="str">
        <x:v>Kas di Bank</x:v>
      </x:c>
      <x:c r="F29" s="35" t="n">
        <x:f>0</x:f>
        <x:v>0</x:v>
      </x:c>
      <x:c r="G29" s="35" t="n">
        <x:f>SUM('Penggajian'!$H$7:$H$10)</x:f>
        <x:v>16000000</x:v>
      </x:c>
    </x:row>
    <x:row r="30" ht="22" customHeight="1">
      <x:c r="A30" s="34" t="d">
        <x:v>2026-09-01T05:00:00.000Z</x:v>
      </x:c>
      <x:c r="B30" s="29" t="str">
        <x:v>PAY-2026-08-NET</x:v>
      </x:c>
      <x:c r="C30" s="29" t="str">
        <x:v>Penggajian</x:v>
      </x:c>
      <x:c r="D30" s="38" t="str">
        <x:v>Pembayaran gaji bersih</x:v>
      </x:c>
      <x:c r="E30" s="38" t="str">
        <x:v>Utang Gaji</x:v>
      </x:c>
      <x:c r="F30" s="35" t="n">
        <x:f>SUM('Penggajian'!$H$7:$H$10)</x:f>
        <x:v>16000000</x:v>
      </x:c>
      <x:c r="G30" s="35" t="n">
        <x:f>0</x:f>
        <x:v>0</x:v>
      </x:c>
    </x:row>
    <x:row r="31" ht="22" customHeight="1">
      <x:c r="A31" s="34" t="d">
        <x:v>2026-09-01T05:00:00.000Z</x:v>
      </x:c>
      <x:c r="B31" s="29" t="str">
        <x:v>PAY-2026-08-POT</x:v>
      </x:c>
      <x:c r="C31" s="29" t="str">
        <x:v>Penggajian</x:v>
      </x:c>
      <x:c r="D31" s="38" t="str">
        <x:v>Pencatatan potongan simulasi</x:v>
      </x:c>
      <x:c r="E31" s="38" t="str">
        <x:v>Utang Gaji</x:v>
      </x:c>
      <x:c r="F31" s="35" t="n">
        <x:f>SUM('Penggajian'!$G$7:$G$10)</x:f>
        <x:v>1000000</x:v>
      </x:c>
      <x:c r="G31" s="35" t="n">
        <x:f>0</x:f>
        <x:v>0</x:v>
      </x:c>
    </x:row>
    <x:row r="32" ht="22" customHeight="1">
      <x:c r="A32" s="34" t="d">
        <x:v>2026-09-01T05:00:00.000Z</x:v>
      </x:c>
      <x:c r="B32" s="29" t="str">
        <x:v>PAY-2026-08-POT</x:v>
      </x:c>
      <x:c r="C32" s="29" t="str">
        <x:v>Penggajian</x:v>
      </x:c>
      <x:c r="D32" s="38" t="str">
        <x:v>Pencatatan potongan simulasi</x:v>
      </x:c>
      <x:c r="E32" s="38" t="str">
        <x:v>Utang Potongan</x:v>
      </x:c>
      <x:c r="F32" s="35" t="n">
        <x:f>0</x:f>
        <x:v>0</x:v>
      </x:c>
      <x:c r="G32" s="35" t="n">
        <x:f>SUM('Penggajian'!$G$7:$G$10)</x:f>
        <x:v>1000000</x:v>
      </x:c>
    </x:row>
    <x:row r="33" ht="22" customHeight="1">
      <x:c r="A33" s="34" t="d">
        <x:v>2026-09-02T05:00:00.000Z</x:v>
      </x:c>
      <x:c r="B33" s="29" t="str">
        <x:v>INV-2026-002-TERIMA</x:v>
      </x:c>
      <x:c r="C33" s="29" t="str">
        <x:v>Pendapatan</x:v>
      </x:c>
      <x:c r="D33" s="38" t="str">
        <x:v>Penerimaan pembayaran pelanggan</x:v>
      </x:c>
      <x:c r="E33" s="38" t="str">
        <x:v>Kas di Bank</x:v>
      </x:c>
      <x:c r="F33" s="35" t="n">
        <x:f>Pendapatan!I8</x:f>
        <x:v>10000000</x:v>
      </x:c>
      <x:c r="G33" s="35" t="n">
        <x:f>0</x:f>
        <x:v>0</x:v>
      </x:c>
    </x:row>
    <x:row r="34" ht="22" customHeight="1">
      <x:c r="A34" s="34" t="d">
        <x:v>2026-09-02T05:00:00.000Z</x:v>
      </x:c>
      <x:c r="B34" s="29" t="str">
        <x:v>INV-2026-002-TERIMA</x:v>
      </x:c>
      <x:c r="C34" s="29" t="str">
        <x:v>Pendapatan</x:v>
      </x:c>
      <x:c r="D34" s="38" t="str">
        <x:v>Penerimaan pembayaran pelanggan</x:v>
      </x:c>
      <x:c r="E34" s="38" t="str">
        <x:v>Piutang Usaha</x:v>
      </x:c>
      <x:c r="F34" s="35" t="n">
        <x:f>0</x:f>
        <x:v>0</x:v>
      </x:c>
      <x:c r="G34" s="35" t="n">
        <x:f>Pendapatan!I8</x:f>
        <x:v>10000000</x:v>
      </x:c>
    </x:row>
    <x:row r="35" ht="22" customHeight="1">
      <x:c r="A35" s="34" t="d">
        <x:v>2026-09-03T05:00:00.000Z</x:v>
      </x:c>
      <x:c r="B35" s="29" t="str">
        <x:v>INV-2026-003</x:v>
      </x:c>
      <x:c r="C35" s="29" t="str">
        <x:v>Pendapatan</x:v>
      </x:c>
      <x:c r="D35" s="38" t="str">
        <x:v>Pengakuan penjualan kredit</x:v>
      </x:c>
      <x:c r="E35" s="38" t="str">
        <x:v>Pendapatan Penjualan</x:v>
      </x:c>
      <x:c r="F35" s="35" t="n">
        <x:f>0</x:f>
        <x:v>0</x:v>
      </x:c>
      <x:c r="G35" s="35" t="n">
        <x:f>Pendapatan!H9</x:f>
        <x:v>50000000</x:v>
      </x:c>
    </x:row>
    <x:row r="36" ht="22" customHeight="1">
      <x:c r="A36" s="34" t="d">
        <x:v>2026-09-03T05:00:00.000Z</x:v>
      </x:c>
      <x:c r="B36" s="29" t="str">
        <x:v>INV-2026-003</x:v>
      </x:c>
      <x:c r="C36" s="29" t="str">
        <x:v>Pendapatan</x:v>
      </x:c>
      <x:c r="D36" s="38" t="str">
        <x:v>Pengakuan penjualan kredit</x:v>
      </x:c>
      <x:c r="E36" s="38" t="str">
        <x:v>Piutang Usaha</x:v>
      </x:c>
      <x:c r="F36" s="35" t="n">
        <x:f>Pendapatan!H9</x:f>
        <x:v>50000000</x:v>
      </x:c>
      <x:c r="G36" s="35" t="n">
        <x:f>0</x:f>
        <x:v>0</x:v>
      </x:c>
    </x:row>
    <x:row r="37" ht="22" customHeight="1">
      <x:c r="A37" s="34" t="d">
        <x:v>2026-09-05T05:00:00.000Z</x:v>
      </x:c>
      <x:c r="B37" s="29" t="str">
        <x:v>BILL-2026-002-BAYAR</x:v>
      </x:c>
      <x:c r="C37" s="29" t="str">
        <x:v>Pengeluaran</x:v>
      </x:c>
      <x:c r="D37" s="38" t="str">
        <x:v>Pembayaran kepada pemasok</x:v>
      </x:c>
      <x:c r="E37" s="38" t="str">
        <x:v>Kas di Bank</x:v>
      </x:c>
      <x:c r="F37" s="35" t="n">
        <x:f>0</x:f>
        <x:v>0</x:v>
      </x:c>
      <x:c r="G37" s="35" t="n">
        <x:f>Pengeluaran!H8</x:f>
        <x:v>7000000</x:v>
      </x:c>
    </x:row>
    <x:row r="38" ht="22" customHeight="1">
      <x:c r="A38" s="34" t="d">
        <x:v>2026-09-05T05:00:00.000Z</x:v>
      </x:c>
      <x:c r="B38" s="29" t="str">
        <x:v>BILL-2026-002-BAYAR</x:v>
      </x:c>
      <x:c r="C38" s="29" t="str">
        <x:v>Pengeluaran</x:v>
      </x:c>
      <x:c r="D38" s="38" t="str">
        <x:v>Pembayaran kepada pemasok</x:v>
      </x:c>
      <x:c r="E38" s="38" t="str">
        <x:v>Utang Usaha</x:v>
      </x:c>
      <x:c r="F38" s="35" t="n">
        <x:f>Pengeluaran!H8</x:f>
        <x:v>7000000</x:v>
      </x:c>
      <x:c r="G38" s="35" t="n">
        <x:f>0</x:f>
        <x:v>0</x:v>
      </x:c>
    </x:row>
    <x:row r="39" ht="22" customHeight="1">
      <x:c r="A39" s="34" t="d">
        <x:v>2026-09-11T05:00:00.000Z</x:v>
      </x:c>
      <x:c r="B39" s="29" t="str">
        <x:v>INV-2026-004</x:v>
      </x:c>
      <x:c r="C39" s="29" t="str">
        <x:v>Pendapatan</x:v>
      </x:c>
      <x:c r="D39" s="38" t="str">
        <x:v>Pengakuan penjualan kredit</x:v>
      </x:c>
      <x:c r="E39" s="38" t="str">
        <x:v>Pendapatan Penjualan</x:v>
      </x:c>
      <x:c r="F39" s="35" t="n">
        <x:f>0</x:f>
        <x:v>0</x:v>
      </x:c>
      <x:c r="G39" s="35" t="n">
        <x:f>Pendapatan!H10</x:f>
        <x:v>17000000</x:v>
      </x:c>
    </x:row>
    <x:row r="40" ht="22" customHeight="1">
      <x:c r="A40" s="34" t="d">
        <x:v>2026-09-11T05:00:00.000Z</x:v>
      </x:c>
      <x:c r="B40" s="29" t="str">
        <x:v>INV-2026-004</x:v>
      </x:c>
      <x:c r="C40" s="29" t="str">
        <x:v>Pendapatan</x:v>
      </x:c>
      <x:c r="D40" s="38" t="str">
        <x:v>Pengakuan penjualan kredit</x:v>
      </x:c>
      <x:c r="E40" s="38" t="str">
        <x:v>Piutang Usaha</x:v>
      </x:c>
      <x:c r="F40" s="35" t="n">
        <x:f>Pendapatan!H10</x:f>
        <x:v>17000000</x:v>
      </x:c>
      <x:c r="G40" s="35" t="n">
        <x:f>0</x:f>
        <x:v>0</x:v>
      </x:c>
    </x:row>
    <x:row r="41" ht="22" customHeight="1">
      <x:c r="A41" s="34" t="d">
        <x:v>2026-09-12T05:00:00.000Z</x:v>
      </x:c>
      <x:c r="B41" s="29" t="str">
        <x:v>BILL-2026-004</x:v>
      </x:c>
      <x:c r="C41" s="29" t="str">
        <x:v>Pengeluaran</x:v>
      </x:c>
      <x:c r="D41" s="38" t="str">
        <x:v>Pencatatan tagihan pemasok</x:v>
      </x:c>
      <x:c r="E41" s="38" t="str">
        <x:v>Barang Dalam Proses</x:v>
      </x:c>
      <x:c r="F41" s="35" t="n">
        <x:f>Pengeluaran!G10</x:f>
        <x:v>8000000</x:v>
      </x:c>
      <x:c r="G41" s="35" t="n">
        <x:f>0</x:f>
        <x:v>0</x:v>
      </x:c>
    </x:row>
    <x:row r="42" ht="22" customHeight="1">
      <x:c r="A42" s="34" t="d">
        <x:v>2026-09-12T05:00:00.000Z</x:v>
      </x:c>
      <x:c r="B42" s="29" t="str">
        <x:v>BILL-2026-004</x:v>
      </x:c>
      <x:c r="C42" s="29" t="str">
        <x:v>Pengeluaran</x:v>
      </x:c>
      <x:c r="D42" s="38" t="str">
        <x:v>Pencatatan tagihan pemasok</x:v>
      </x:c>
      <x:c r="E42" s="38" t="str">
        <x:v>Utang Usaha</x:v>
      </x:c>
      <x:c r="F42" s="35" t="n">
        <x:f>0</x:f>
        <x:v>0</x:v>
      </x:c>
      <x:c r="G42" s="35" t="n">
        <x:f>Pengeluaran!G10</x:f>
        <x:v>8000000</x:v>
      </x:c>
    </x:row>
    <x:row r="43" ht="22" customHeight="1">
      <x:c r="A43" s="34" t="d">
        <x:v>2026-09-18T05:00:00.000Z</x:v>
      </x:c>
      <x:c r="B43" s="29" t="str">
        <x:v>INV-2026-005</x:v>
      </x:c>
      <x:c r="C43" s="29" t="str">
        <x:v>Pendapatan</x:v>
      </x:c>
      <x:c r="D43" s="38" t="str">
        <x:v>Pengakuan penjualan kredit</x:v>
      </x:c>
      <x:c r="E43" s="38" t="str">
        <x:v>Pendapatan Penjualan</x:v>
      </x:c>
      <x:c r="F43" s="35" t="n">
        <x:f>0</x:f>
        <x:v>0</x:v>
      </x:c>
      <x:c r="G43" s="35" t="n">
        <x:f>Pendapatan!H11</x:f>
        <x:v>32000000</x:v>
      </x:c>
    </x:row>
    <x:row r="44" ht="22" customHeight="1">
      <x:c r="A44" s="34" t="d">
        <x:v>2026-09-18T05:00:00.000Z</x:v>
      </x:c>
      <x:c r="B44" s="29" t="str">
        <x:v>INV-2026-005</x:v>
      </x:c>
      <x:c r="C44" s="29" t="str">
        <x:v>Pendapatan</x:v>
      </x:c>
      <x:c r="D44" s="38" t="str">
        <x:v>Pengakuan penjualan kredit</x:v>
      </x:c>
      <x:c r="E44" s="38" t="str">
        <x:v>Piutang Usaha</x:v>
      </x:c>
      <x:c r="F44" s="35" t="n">
        <x:f>Pendapatan!H11</x:f>
        <x:v>32000000</x:v>
      </x:c>
      <x:c r="G44" s="35" t="n">
        <x:f>0</x:f>
        <x:v>0</x:v>
      </x:c>
    </x:row>
    <x:row r="45" ht="22" customHeight="1">
      <x:c r="A45" s="34" t="d">
        <x:v>2026-09-20T05:00:00.000Z</x:v>
      </x:c>
      <x:c r="B45" s="29" t="str">
        <x:v>BILL-2026-005</x:v>
      </x:c>
      <x:c r="C45" s="29" t="str">
        <x:v>Pengeluaran</x:v>
      </x:c>
      <x:c r="D45" s="38" t="str">
        <x:v>Pencatatan tagihan pemasok</x:v>
      </x:c>
      <x:c r="E45" s="38" t="str">
        <x:v>Beban Layanan Pelatihan</x:v>
      </x:c>
      <x:c r="F45" s="35" t="n">
        <x:f>Pengeluaran!G11</x:f>
        <x:v>9000000</x:v>
      </x:c>
      <x:c r="G45" s="35" t="n">
        <x:f>0</x:f>
        <x:v>0</x:v>
      </x:c>
    </x:row>
    <x:row r="46" ht="22" customHeight="1">
      <x:c r="A46" s="34" t="d">
        <x:v>2026-09-20T05:00:00.000Z</x:v>
      </x:c>
      <x:c r="B46" s="29" t="str">
        <x:v>BILL-2026-005</x:v>
      </x:c>
      <x:c r="C46" s="29" t="str">
        <x:v>Pengeluaran</x:v>
      </x:c>
      <x:c r="D46" s="38" t="str">
        <x:v>Pencatatan tagihan pemasok</x:v>
      </x:c>
      <x:c r="E46" s="38" t="str">
        <x:v>Utang Usaha</x:v>
      </x:c>
      <x:c r="F46" s="35" t="n">
        <x:f>0</x:f>
        <x:v>0</x:v>
      </x:c>
      <x:c r="G46" s="35" t="n">
        <x:f>Pengeluaran!G11</x:f>
        <x:v>9000000</x:v>
      </x:c>
    </x:row>
    <x:row r="47" ht="22" customHeight="1">
      <x:c r="A47" s="34" t="d">
        <x:v>2026-09-22T05:00:00.000Z</x:v>
      </x:c>
      <x:c r="B47" s="29" t="str">
        <x:v>INV-2026-003-TERIMA</x:v>
      </x:c>
      <x:c r="C47" s="29" t="str">
        <x:v>Pendapatan</x:v>
      </x:c>
      <x:c r="D47" s="38" t="str">
        <x:v>Penerimaan pembayaran pelanggan</x:v>
      </x:c>
      <x:c r="E47" s="38" t="str">
        <x:v>Kas di Bank</x:v>
      </x:c>
      <x:c r="F47" s="35" t="n">
        <x:f>Pendapatan!I9</x:f>
        <x:v>50000000</x:v>
      </x:c>
      <x:c r="G47" s="35" t="n">
        <x:f>0</x:f>
        <x:v>0</x:v>
      </x:c>
    </x:row>
    <x:row r="48" ht="22" customHeight="1">
      <x:c r="A48" s="34" t="d">
        <x:v>2026-09-22T05:00:00.000Z</x:v>
      </x:c>
      <x:c r="B48" s="29" t="str">
        <x:v>INV-2026-003-TERIMA</x:v>
      </x:c>
      <x:c r="C48" s="29" t="str">
        <x:v>Pendapatan</x:v>
      </x:c>
      <x:c r="D48" s="38" t="str">
        <x:v>Penerimaan pembayaran pelanggan</x:v>
      </x:c>
      <x:c r="E48" s="38" t="str">
        <x:v>Piutang Usaha</x:v>
      </x:c>
      <x:c r="F48" s="35" t="n">
        <x:f>0</x:f>
        <x:v>0</x:v>
      </x:c>
      <x:c r="G48" s="35" t="n">
        <x:f>Pendapatan!I9</x:f>
        <x:v>50000000</x:v>
      </x:c>
    </x:row>
    <x:row r="49" ht="22" customHeight="1">
      <x:c r="A49" s="34" t="d">
        <x:v>2026-09-25T05:00:00.000Z</x:v>
      </x:c>
      <x:c r="B49" s="29" t="str">
        <x:v>INV-2026-006</x:v>
      </x:c>
      <x:c r="C49" s="29" t="str">
        <x:v>Pendapatan</x:v>
      </x:c>
      <x:c r="D49" s="38" t="str">
        <x:v>Penjualan tunai</x:v>
      </x:c>
      <x:c r="E49" s="38" t="str">
        <x:v>Kas di Bank</x:v>
      </x:c>
      <x:c r="F49" s="35" t="n">
        <x:f>Pendapatan!H12</x:f>
        <x:v>16000000</x:v>
      </x:c>
      <x:c r="G49" s="35" t="n">
        <x:f>0</x:f>
        <x:v>0</x:v>
      </x:c>
    </x:row>
    <x:row r="50" ht="22" customHeight="1">
      <x:c r="A50" s="34" t="d">
        <x:v>2026-09-25T05:00:00.000Z</x:v>
      </x:c>
      <x:c r="B50" s="29" t="str">
        <x:v>INV-2026-006</x:v>
      </x:c>
      <x:c r="C50" s="29" t="str">
        <x:v>Pendapatan</x:v>
      </x:c>
      <x:c r="D50" s="38" t="str">
        <x:v>Penjualan tunai</x:v>
      </x:c>
      <x:c r="E50" s="38" t="str">
        <x:v>Pendapatan Penjualan</x:v>
      </x:c>
      <x:c r="F50" s="35" t="n">
        <x:f>0</x:f>
        <x:v>0</x:v>
      </x:c>
      <x:c r="G50" s="35" t="n">
        <x:f>Pendapatan!H12</x:f>
        <x:v>16000000</x:v>
      </x:c>
    </x:row>
    <x:row r="51" ht="22" customHeight="1">
      <x:c r="A51" s="34" t="d">
        <x:v>2026-09-28T05:00:00.000Z</x:v>
      </x:c>
      <x:c r="B51" s="29" t="str">
        <x:v>BILL-2026-004-BAYAR</x:v>
      </x:c>
      <x:c r="C51" s="29" t="str">
        <x:v>Pengeluaran</x:v>
      </x:c>
      <x:c r="D51" s="38" t="str">
        <x:v>Pembayaran kepada pemasok</x:v>
      </x:c>
      <x:c r="E51" s="38" t="str">
        <x:v>Kas di Bank</x:v>
      </x:c>
      <x:c r="F51" s="35" t="n">
        <x:f>0</x:f>
        <x:v>0</x:v>
      </x:c>
      <x:c r="G51" s="35" t="n">
        <x:f>Pengeluaran!H10</x:f>
        <x:v>8000000</x:v>
      </x:c>
    </x:row>
    <x:row r="52" ht="22" customHeight="1">
      <x:c r="A52" s="34" t="d">
        <x:v>2026-09-28T05:00:00.000Z</x:v>
      </x:c>
      <x:c r="B52" s="29" t="str">
        <x:v>BILL-2026-004-BAYAR</x:v>
      </x:c>
      <x:c r="C52" s="29" t="str">
        <x:v>Pengeluaran</x:v>
      </x:c>
      <x:c r="D52" s="38" t="str">
        <x:v>Pembayaran kepada pemasok</x:v>
      </x:c>
      <x:c r="E52" s="38" t="str">
        <x:v>Utang Usaha</x:v>
      </x:c>
      <x:c r="F52" s="35" t="n">
        <x:f>Pengeluaran!H10</x:f>
        <x:v>8000000</x:v>
      </x:c>
      <x:c r="G52" s="35" t="n">
        <x:f>0</x:f>
        <x:v>0</x:v>
      </x:c>
    </x:row>
    <x:row r="53" ht="22" customHeight="1">
      <x:c r="A53" s="34" t="d">
        <x:v>2026-09-29T05:00:00.000Z</x:v>
      </x:c>
      <x:c r="B53" s="29" t="str">
        <x:v>INV-2026-004-TERIMA</x:v>
      </x:c>
      <x:c r="C53" s="29" t="str">
        <x:v>Pendapatan</x:v>
      </x:c>
      <x:c r="D53" s="38" t="str">
        <x:v>Penerimaan pembayaran pelanggan</x:v>
      </x:c>
      <x:c r="E53" s="38" t="str">
        <x:v>Kas di Bank</x:v>
      </x:c>
      <x:c r="F53" s="35" t="n">
        <x:f>Pendapatan!I10</x:f>
        <x:v>7000000</x:v>
      </x:c>
      <x:c r="G53" s="35" t="n">
        <x:f>0</x:f>
        <x:v>0</x:v>
      </x:c>
    </x:row>
    <x:row r="54" ht="22" customHeight="1">
      <x:c r="A54" s="34" t="d">
        <x:v>2026-09-29T05:00:00.000Z</x:v>
      </x:c>
      <x:c r="B54" s="29" t="str">
        <x:v>INV-2026-004-TERIMA</x:v>
      </x:c>
      <x:c r="C54" s="29" t="str">
        <x:v>Pendapatan</x:v>
      </x:c>
      <x:c r="D54" s="38" t="str">
        <x:v>Penerimaan pembayaran pelanggan</x:v>
      </x:c>
      <x:c r="E54" s="38" t="str">
        <x:v>Piutang Usaha</x:v>
      </x:c>
      <x:c r="F54" s="35" t="n">
        <x:f>0</x:f>
        <x:v>0</x:v>
      </x:c>
      <x:c r="G54" s="35" t="n">
        <x:f>Pendapatan!I10</x:f>
        <x:v>7000000</x:v>
      </x:c>
    </x:row>
    <x:row r="55" ht="22" customHeight="1">
      <x:c r="A55" s="34" t="d">
        <x:v>2026-09-30T05:00:00.000Z</x:v>
      </x:c>
      <x:c r="B55" s="29" t="str">
        <x:v>HPP-SEPT</x:v>
      </x:c>
      <x:c r="C55" s="29" t="str">
        <x:v>Buku Besar</x:v>
      </x:c>
      <x:c r="D55" s="38" t="str">
        <x:v>Pengakuan harga pokok atas barang terjual</x:v>
      </x:c>
      <x:c r="E55" s="38" t="str">
        <x:v>Harga Pokok Penjualan</x:v>
      </x:c>
      <x:c r="F55" s="35" t="n">
        <x:f>SUM(Produksi!I7:I12)</x:f>
        <x:v>94500000</x:v>
      </x:c>
      <x:c r="G55" s="35" t="n">
        <x:f>0</x:f>
        <x:v>0</x:v>
      </x:c>
    </x:row>
    <x:row r="56" ht="22" customHeight="1">
      <x:c r="A56" s="34" t="d">
        <x:v>2026-09-30T05:00:00.000Z</x:v>
      </x:c>
      <x:c r="B56" s="29" t="str">
        <x:v>HPP-SEPT</x:v>
      </x:c>
      <x:c r="C56" s="29" t="str">
        <x:v>Buku Besar</x:v>
      </x:c>
      <x:c r="D56" s="38" t="str">
        <x:v>Pengakuan harga pokok atas barang terjual</x:v>
      </x:c>
      <x:c r="E56" s="38" t="str">
        <x:v>Persediaan Barang Jadi</x:v>
      </x:c>
      <x:c r="F56" s="35" t="n">
        <x:f>0</x:f>
        <x:v>0</x:v>
      </x:c>
      <x:c r="G56" s="35" t="n">
        <x:f>SUM(Produksi!I7:I12)</x:f>
        <x:v>94500000</x:v>
      </x:c>
    </x:row>
    <x:row r="57" ht="22" customHeight="1">
      <x:c r="A57" s="34" t="d">
        <x:v>2026-09-30T05:00:00.000Z</x:v>
      </x:c>
      <x:c r="B57" s="29" t="str">
        <x:v>PAY-2026-09</x:v>
      </x:c>
      <x:c r="C57" s="29" t="str">
        <x:v>Penggajian</x:v>
      </x:c>
      <x:c r="D57" s="38" t="str">
        <x:v>Alokasi gaji tenaga kerja produksi</x:v>
      </x:c>
      <x:c r="E57" s="38" t="str">
        <x:v>Barang Dalam Proses</x:v>
      </x:c>
      <x:c r="F57" s="35" t="n">
        <x:f>SUMIF('Penggajian'!$E$11:$E$14,"Produksi",'Penggajian'!$F$11:$F$14)</x:f>
        <x:v>8000000</x:v>
      </x:c>
      <x:c r="G57" s="35" t="n">
        <x:f>0</x:f>
        <x:v>0</x:v>
      </x:c>
    </x:row>
    <x:row r="58" ht="22" customHeight="1">
      <x:c r="A58" s="34" t="d">
        <x:v>2026-09-30T05:00:00.000Z</x:v>
      </x:c>
      <x:c r="B58" s="29" t="str">
        <x:v>PAY-2026-09</x:v>
      </x:c>
      <x:c r="C58" s="29" t="str">
        <x:v>Penggajian</x:v>
      </x:c>
      <x:c r="D58" s="38" t="str">
        <x:v>Beban gaji bagian nonproduksi</x:v>
      </x:c>
      <x:c r="E58" s="38" t="str">
        <x:v>Beban Gaji</x:v>
      </x:c>
      <x:c r="F58" s="35" t="n">
        <x:f>SUM('Penggajian'!$F$11:$F$14)-SUMIF('Penggajian'!$E$11:$E$14,"Produksi",'Penggajian'!$F$11:$F$14)</x:f>
        <x:v>9000000</x:v>
      </x:c>
      <x:c r="G58" s="35" t="n">
        <x:f>0</x:f>
        <x:v>0</x:v>
      </x:c>
    </x:row>
    <x:row r="59" ht="22" customHeight="1">
      <x:c r="A59" s="34" t="d">
        <x:v>2026-09-30T05:00:00.000Z</x:v>
      </x:c>
      <x:c r="B59" s="29" t="str">
        <x:v>PAY-2026-09</x:v>
      </x:c>
      <x:c r="C59" s="29" t="str">
        <x:v>Penggajian</x:v>
      </x:c>
      <x:c r="D59" s="38" t="str">
        <x:v>Alokasi gaji tenaga kerja produksi</x:v>
      </x:c>
      <x:c r="E59" s="38" t="str">
        <x:v>Utang Gaji</x:v>
      </x:c>
      <x:c r="F59" s="35" t="n">
        <x:f>0</x:f>
        <x:v>0</x:v>
      </x:c>
      <x:c r="G59" s="35" t="n">
        <x:f>SUMIF('Penggajian'!$E$11:$E$14,"Produksi",'Penggajian'!$F$11:$F$14)</x:f>
        <x:v>8000000</x:v>
      </x:c>
    </x:row>
    <x:row r="60" ht="22" customHeight="1">
      <x:c r="A60" s="34" t="d">
        <x:v>2026-09-30T05:00:00.000Z</x:v>
      </x:c>
      <x:c r="B60" s="29" t="str">
        <x:v>PAY-2026-09</x:v>
      </x:c>
      <x:c r="C60" s="29" t="str">
        <x:v>Penggajian</x:v>
      </x:c>
      <x:c r="D60" s="38" t="str">
        <x:v>Beban gaji bagian nonproduksi</x:v>
      </x:c>
      <x:c r="E60" s="38" t="str">
        <x:v>Utang Gaji</x:v>
      </x:c>
      <x:c r="F60" s="35" t="n">
        <x:f>0</x:f>
        <x:v>0</x:v>
      </x:c>
      <x:c r="G60" s="35" t="n">
        <x:f>SUM('Penggajian'!$F$11:$F$14)-SUMIF('Penggajian'!$E$11:$E$14,"Produksi",'Penggajian'!$F$11:$F$14)</x:f>
        <x:v>9000000</x:v>
      </x:c>
    </x:row>
    <x:row r="61" ht="22" customHeight="1">
      <x:c r="A61" s="34" t="d">
        <x:v>2026-09-30T05:00:00.000Z</x:v>
      </x:c>
      <x:c r="B61" s="29" t="str">
        <x:v>PRD-2026-001-006</x:v>
      </x:c>
      <x:c r="C61" s="29" t="str">
        <x:v>Produksi</x:v>
      </x:c>
      <x:c r="D61" s="38" t="str">
        <x:v>Pemakaian bahan baku ke proses produksi</x:v>
      </x:c>
      <x:c r="E61" s="38" t="str">
        <x:v>Barang Dalam Proses</x:v>
      </x:c>
      <x:c r="F61" s="35" t="n">
        <x:f>SUM(Produksi!F7:F12)</x:f>
        <x:v>64000000</x:v>
      </x:c>
      <x:c r="G61" s="35" t="n">
        <x:f>0</x:f>
        <x:v>0</x:v>
      </x:c>
    </x:row>
    <x:row r="62" ht="22" customHeight="1">
      <x:c r="A62" s="34" t="d">
        <x:v>2026-09-30T05:00:00.000Z</x:v>
      </x:c>
      <x:c r="B62" s="29" t="str">
        <x:v>PRD-2026-001-006</x:v>
      </x:c>
      <x:c r="C62" s="29" t="str">
        <x:v>Produksi</x:v>
      </x:c>
      <x:c r="D62" s="38" t="str">
        <x:v>Pemakaian bahan baku ke proses produksi</x:v>
      </x:c>
      <x:c r="E62" s="38" t="str">
        <x:v>Persediaan Bahan Baku</x:v>
      </x:c>
      <x:c r="F62" s="35" t="n">
        <x:f>0</x:f>
        <x:v>0</x:v>
      </x:c>
      <x:c r="G62" s="35" t="n">
        <x:f>SUM(Produksi!F7:F12)</x:f>
        <x:v>64000000</x:v>
      </x:c>
    </x:row>
    <x:row r="63" ht="22" customHeight="1">
      <x:c r="A63" s="34" t="d">
        <x:v>2026-09-30T05:00:00.000Z</x:v>
      </x:c>
      <x:c r="B63" s="29" t="str">
        <x:v>PRD-OVERHEAD</x:v>
      </x:c>
      <x:c r="C63" s="29" t="str">
        <x:v>Produksi</x:v>
      </x:c>
      <x:c r="D63" s="38" t="str">
        <x:v>Alokasi overhead nonkas simulasi</x:v>
      </x:c>
      <x:c r="E63" s="38" t="str">
        <x:v>Akumulasi Penyusutan</x:v>
      </x:c>
      <x:c r="F63" s="35" t="n">
        <x:f>0</x:f>
        <x:v>0</x:v>
      </x:c>
      <x:c r="G63" s="35" t="n">
        <x:f>SUM(Produksi!H7:H12)-Pengeluaran!G10</x:f>
        <x:v>6500000</x:v>
      </x:c>
    </x:row>
    <x:row r="64" ht="22" customHeight="1">
      <x:c r="A64" s="34" t="d">
        <x:v>2026-09-30T05:00:00.000Z</x:v>
      </x:c>
      <x:c r="B64" s="29" t="str">
        <x:v>PRD-OVERHEAD</x:v>
      </x:c>
      <x:c r="C64" s="29" t="str">
        <x:v>Produksi</x:v>
      </x:c>
      <x:c r="D64" s="38" t="str">
        <x:v>Alokasi overhead nonkas simulasi</x:v>
      </x:c>
      <x:c r="E64" s="38" t="str">
        <x:v>Barang Dalam Proses</x:v>
      </x:c>
      <x:c r="F64" s="35" t="n">
        <x:f>SUM(Produksi!H7:H12)-Pengeluaran!G10</x:f>
        <x:v>6500000</x:v>
      </x:c>
      <x:c r="G64" s="35" t="n">
        <x:f>0</x:f>
        <x:v>0</x:v>
      </x:c>
    </x:row>
    <x:row r="65" ht="22" customHeight="1">
      <x:c r="A65" s="34" t="d">
        <x:v>2026-09-30T05:00:00.000Z</x:v>
      </x:c>
      <x:c r="B65" s="29" t="str">
        <x:v>PRD-SELESAI</x:v>
      </x:c>
      <x:c r="C65" s="29" t="str">
        <x:v>Produksi</x:v>
      </x:c>
      <x:c r="D65" s="38" t="str">
        <x:v>Pemindahan barang dalam proses ke barang jadi</x:v>
      </x:c>
      <x:c r="E65" s="38" t="str">
        <x:v>Barang Dalam Proses</x:v>
      </x:c>
      <x:c r="F65" s="35" t="n">
        <x:f>0</x:f>
        <x:v>0</x:v>
      </x:c>
      <x:c r="G65" s="35" t="n">
        <x:f>SUM(Produksi!I7:I12)</x:f>
        <x:v>94500000</x:v>
      </x:c>
    </x:row>
    <x:row r="66" ht="22" customHeight="1">
      <x:c r="A66" s="34" t="d">
        <x:v>2026-09-30T05:00:00.000Z</x:v>
      </x:c>
      <x:c r="B66" s="29" t="str">
        <x:v>PRD-SELESAI</x:v>
      </x:c>
      <x:c r="C66" s="29" t="str">
        <x:v>Produksi</x:v>
      </x:c>
      <x:c r="D66" s="38" t="str">
        <x:v>Pemindahan barang dalam proses ke barang jadi</x:v>
      </x:c>
      <x:c r="E66" s="38" t="str">
        <x:v>Persediaan Barang Jadi</x:v>
      </x:c>
      <x:c r="F66" s="35" t="n">
        <x:f>SUM(Produksi!I7:I12)</x:f>
        <x:v>94500000</x:v>
      </x:c>
      <x:c r="G66" s="35" t="n">
        <x:f>0</x:f>
        <x:v>0</x:v>
      </x:c>
    </x:row>
    <x:row r="67" ht="22" customHeight="1">
      <x:c r="A67" s="34" t="d">
        <x:v>2026-10-01T05:00:00.000Z</x:v>
      </x:c>
      <x:c r="B67" s="29" t="str">
        <x:v>BILL-2026-006</x:v>
      </x:c>
      <x:c r="C67" s="29" t="str">
        <x:v>Pengeluaran</x:v>
      </x:c>
      <x:c r="D67" s="38" t="str">
        <x:v>Pencatatan tagihan pemasok</x:v>
      </x:c>
      <x:c r="E67" s="38" t="str">
        <x:v>Persediaan Bahan Baku</x:v>
      </x:c>
      <x:c r="F67" s="35" t="n">
        <x:f>Pengeluaran!G12</x:f>
        <x:v>3000000</x:v>
      </x:c>
      <x:c r="G67" s="35" t="n">
        <x:f>0</x:f>
        <x:v>0</x:v>
      </x:c>
    </x:row>
    <x:row r="68" ht="22" customHeight="1">
      <x:c r="A68" s="34" t="d">
        <x:v>2026-10-01T05:00:00.000Z</x:v>
      </x:c>
      <x:c r="B68" s="29" t="str">
        <x:v>BILL-2026-006</x:v>
      </x:c>
      <x:c r="C68" s="29" t="str">
        <x:v>Pengeluaran</x:v>
      </x:c>
      <x:c r="D68" s="38" t="str">
        <x:v>Pencatatan tagihan pemasok</x:v>
      </x:c>
      <x:c r="E68" s="38" t="str">
        <x:v>Utang Usaha</x:v>
      </x:c>
      <x:c r="F68" s="35" t="n">
        <x:f>0</x:f>
        <x:v>0</x:v>
      </x:c>
      <x:c r="G68" s="35" t="n">
        <x:f>Pengeluaran!G12</x:f>
        <x:v>3000000</x:v>
      </x:c>
    </x:row>
    <x:row r="69" ht="22" customHeight="1">
      <x:c r="A69" s="34" t="d">
        <x:v>2026-10-01T05:00:00.000Z</x:v>
      </x:c>
      <x:c r="B69" s="29" t="str">
        <x:v>PAY-2026-09-NET</x:v>
      </x:c>
      <x:c r="C69" s="29" t="str">
        <x:v>Penggajian</x:v>
      </x:c>
      <x:c r="D69" s="38" t="str">
        <x:v>Pembayaran gaji bersih</x:v>
      </x:c>
      <x:c r="E69" s="38" t="str">
        <x:v>Kas di Bank</x:v>
      </x:c>
      <x:c r="F69" s="35" t="n">
        <x:f>0</x:f>
        <x:v>0</x:v>
      </x:c>
      <x:c r="G69" s="35" t="n">
        <x:f>SUM('Penggajian'!$H$11:$H$14)</x:f>
        <x:v>16000000</x:v>
      </x:c>
    </x:row>
    <x:row r="70" ht="22" customHeight="1">
      <x:c r="A70" s="34" t="d">
        <x:v>2026-10-01T05:00:00.000Z</x:v>
      </x:c>
      <x:c r="B70" s="29" t="str">
        <x:v>PAY-2026-09-NET</x:v>
      </x:c>
      <x:c r="C70" s="29" t="str">
        <x:v>Penggajian</x:v>
      </x:c>
      <x:c r="D70" s="38" t="str">
        <x:v>Pembayaran gaji bersih</x:v>
      </x:c>
      <x:c r="E70" s="38" t="str">
        <x:v>Utang Gaji</x:v>
      </x:c>
      <x:c r="F70" s="35" t="n">
        <x:f>SUM('Penggajian'!$H$11:$H$14)</x:f>
        <x:v>16000000</x:v>
      </x:c>
      <x:c r="G70" s="35" t="n">
        <x:f>0</x:f>
        <x:v>0</x:v>
      </x:c>
    </x:row>
    <x:row r="71" ht="22" customHeight="1">
      <x:c r="A71" s="34" t="d">
        <x:v>2026-10-01T05:00:00.000Z</x:v>
      </x:c>
      <x:c r="B71" s="29" t="str">
        <x:v>PAY-2026-09-POT</x:v>
      </x:c>
      <x:c r="C71" s="29" t="str">
        <x:v>Penggajian</x:v>
      </x:c>
      <x:c r="D71" s="38" t="str">
        <x:v>Pencatatan potongan simulasi</x:v>
      </x:c>
      <x:c r="E71" s="38" t="str">
        <x:v>Utang Gaji</x:v>
      </x:c>
      <x:c r="F71" s="35" t="n">
        <x:f>SUM('Penggajian'!$G$11:$G$14)</x:f>
        <x:v>1000000</x:v>
      </x:c>
      <x:c r="G71" s="35" t="n">
        <x:f>0</x:f>
        <x:v>0</x:v>
      </x:c>
    </x:row>
    <x:row r="72" ht="22" customHeight="1">
      <x:c r="A72" s="34" t="d">
        <x:v>2026-10-01T05:00:00.000Z</x:v>
      </x:c>
      <x:c r="B72" s="29" t="str">
        <x:v>PAY-2026-09-POT</x:v>
      </x:c>
      <x:c r="C72" s="29" t="str">
        <x:v>Penggajian</x:v>
      </x:c>
      <x:c r="D72" s="38" t="str">
        <x:v>Pencatatan potongan simulasi</x:v>
      </x:c>
      <x:c r="E72" s="38" t="str">
        <x:v>Utang Potongan</x:v>
      </x:c>
      <x:c r="F72" s="35" t="n">
        <x:f>0</x:f>
        <x:v>0</x:v>
      </x:c>
      <x:c r="G72" s="35" t="n">
        <x:f>SUM('Penggajian'!$G$11:$G$14)</x:f>
        <x:v>1000000</x:v>
      </x:c>
    </x:row>
    <x:row r="73" ht="22" customHeight="1">
      <x:c r="A73" s="29"/>
      <x:c r="B73" s="29"/>
      <x:c r="C73" s="29"/>
      <x:c r="D73" s="29"/>
      <x:c r="E73" s="29"/>
      <x:c r="F73" s="29"/>
      <x:c r="G73" s="29"/>
    </x:row>
    <x:row r="74" ht="22" customHeight="1">
      <x:c r="A74" s="29"/>
      <x:c r="B74" s="29"/>
      <x:c r="C74" s="29"/>
      <x:c r="D74" s="29"/>
      <x:c r="E74" s="36" t="str">
        <x:v>TOTAL JURNAL</x:v>
      </x:c>
      <x:c r="F74" s="37" t="n">
        <x:f>SUM(F7:F72)</x:f>
        <x:v>752000000</x:v>
      </x:c>
      <x:c r="G74" s="37" t="n">
        <x:f>SUM(G7:G72)</x:f>
        <x:v>752000000</x:v>
      </x:c>
    </x:row>
  </x:sheetData>
  <x:pageMargins left="0.7" right="0.7" top="0.75" bottom="0.75" header="0.3" footer="0.3"/>
</x:worksheet>
</file>